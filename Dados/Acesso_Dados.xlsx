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!_Dados Gerais\!!!_2026\PBI_Junior\Insumos\"/>
    </mc:Choice>
  </mc:AlternateContent>
  <xr:revisionPtr revIDLastSave="0" documentId="13_ncr:1_{FA4A66EF-9980-4EF5-A03F-6870A881E3FB}" xr6:coauthVersionLast="47" xr6:coauthVersionMax="47" xr10:uidLastSave="{00000000-0000-0000-0000-000000000000}"/>
  <bookViews>
    <workbookView xWindow="-21720" yWindow="-120" windowWidth="21840" windowHeight="13140" xr2:uid="{D344D0BD-F040-4971-B8A1-60C7C9C55E29}"/>
  </bookViews>
  <sheets>
    <sheet name="Token" sheetId="6" r:id="rId1"/>
    <sheet name="D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6" l="1"/>
  <c r="B9" i="1"/>
  <c r="B10" i="1"/>
  <c r="B7" i="1"/>
  <c r="B8" i="1"/>
  <c r="B11" i="1" a="1"/>
  <c r="B11" i="1" s="1"/>
  <c r="K25" i="6"/>
  <c r="K24" i="6"/>
  <c r="K23" i="6"/>
  <c r="K22" i="6"/>
  <c r="K21" i="6"/>
  <c r="K20" i="6"/>
  <c r="K19" i="6"/>
  <c r="K13" i="6"/>
  <c r="K14" i="6"/>
  <c r="K11" i="6"/>
  <c r="K15" i="6"/>
  <c r="K12" i="6"/>
  <c r="K10" i="6"/>
  <c r="K17" i="6"/>
  <c r="K16" i="6"/>
  <c r="K18" i="6"/>
  <c r="B2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66EDD4-EC7D-4CAA-B6B0-BD361F9CC75B}" keepAlive="1" name="Consulta - fx_Gera_Token" description="Conexão com a consulta 'fx_Gera_Token' na pasta de trabalho." type="5" refreshedVersion="0" background="1">
    <dbPr connection="Provider=Microsoft.Mashup.OleDb.1;Data Source=$Workbook$;Location=fx_Gera_Token;Extended Properties=&quot;&quot;" command="SELECT * FROM [fx_Gera_Token]"/>
  </connection>
  <connection id="2" xr16:uid="{8F71E2E8-2359-4B85-9F49-B2A494CFE13C}" keepAlive="1" name="Consulta - fx_Gera_Token (2)" description="Conexão com a consulta 'fx_Gera_Token (2)' na pasta de trabalho." type="5" refreshedVersion="0" background="1">
    <dbPr connection="Provider=Microsoft.Mashup.OleDb.1;Data Source=$Workbook$;Location=&quot;fx_Gera_Token (2)&quot;;Extended Properties=&quot;&quot;" command="SELECT * FROM [fx_Gera_Token (2)]"/>
  </connection>
  <connection id="3" xr16:uid="{56D9C275-2E4B-466D-BEB1-1EFDBE189775}" keepAlive="1" name="Consulta - fx_Gera_Token (Dados_Cliente)" description="Conexão com a consulta 'fx_Gera_Token (Dados_Cliente)' na pasta de trabalho." type="5" refreshedVersion="0" background="1">
    <dbPr connection="Provider=Microsoft.Mashup.OleDb.1;Data Source=$Workbook$;Location=&quot;fx_Gera_Token (Dados_Cliente)&quot;;Extended Properties=&quot;&quot;" command="SELECT * FROM [fx_Gera_Token (Dados_Cliente)]"/>
  </connection>
  <connection id="4" xr16:uid="{6439D1D8-D0AC-4117-B88A-65F2D12B365F}" keepAlive="1" name="Consulta - Tabela 1" description="Conexão com a consulta 'Tabela 1' na pasta de trabalho." type="5" refreshedVersion="0" background="1">
    <dbPr connection="Provider=Microsoft.Mashup.OleDb.1;Data Source=$Workbook$;Location=&quot;Tabela 1&quot;;Extended Properties=&quot;&quot;" command="SELECT * FROM [Tabela 1]"/>
  </connection>
  <connection id="5" xr16:uid="{84256F54-1DD2-4626-91AA-3A36C86AF654}" keepAlive="1" name="Consulta - Tb_Acessos" description="Conexão com a consulta 'Tb_Acessos' na pasta de trabalho." type="5" refreshedVersion="0" background="1">
    <dbPr connection="Provider=Microsoft.Mashup.OleDb.1;Data Source=$Workbook$;Location=Tb_Acessos;Extended Properties=&quot;&quot;" command="SELECT * FROM [Tb_Acessos]"/>
  </connection>
  <connection id="6" xr16:uid="{13BBE55B-8823-4247-A606-2DDE2F1587C1}" keepAlive="1" name="Consulta - Token (renovar)" description="Conexão com a consulta 'Token (renovar)' na pasta de trabalho." type="5" refreshedVersion="0" background="1">
    <dbPr connection="Provider=Microsoft.Mashup.OleDb.1;Data Source=$Workbook$;Location=&quot;Token (renovar)&quot;;Extended Properties=&quot;&quot;" command="SELECT * FROM [Token (renovar)]"/>
  </connection>
  <connection id="7" xr16:uid="{ABB2D5CB-6CD5-4C84-BDFB-440FD542CDAC}" keepAlive="1" name="Consulta - Token (renovar)1" description="Conexão com a consulta 'Token (renovar)' na pasta de trabalho." type="5" refreshedVersion="0" background="1">
    <dbPr connection="Provider=Microsoft.Mashup.OleDb.1;Data Source=$Workbook$;Location=&quot;Token (renovar)&quot;;Extended Properties=&quot;&quot;" command="SELECT * FROM [Token (renovar)]"/>
  </connection>
  <connection id="8" xr16:uid="{4ED3EE7D-ACA9-4BD6-B23B-03CB8E47DC91}" keepAlive="1" name="Consulta - Token(1)" description="Conexão com a consulta 'Token' na pasta de trabalho." type="5" refreshedVersion="0" saveData="1">
    <dbPr connection="Provider=Microsoft.Mashup.OleDb.1;Data Source=$Workbook$;Location=Token;Extended Properties=&quot;&quot;" command="SELECT * FROM [Token]"/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AF22D585-D997-4133-979A-B76A532636F6}" keepAlive="1" name="Consulta - Token_Dados_Cliente" description="Conexão com a consulta 'Token_Dados_Cliente' na pasta de trabalho." type="5" refreshedVersion="8" background="1" saveData="1">
    <dbPr connection="Provider=Microsoft.Mashup.OleDb.1;Data Source=$Workbook$;Location=Token_Dados_Cliente;Extended Properties=&quot;&quot;" command="SELECT * FROM [Token_Dados_Cliente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<sst xmlns="http://schemas.openxmlformats.org/spreadsheetml/2006/main" count="65" uniqueCount="39">
  <si>
    <t>Nome</t>
  </si>
  <si>
    <t>Valor</t>
  </si>
  <si>
    <t>Token_Acesso_Dia</t>
  </si>
  <si>
    <t>Cliente_ID</t>
  </si>
  <si>
    <t>3s7hmj1jf2fhesvdvfk7d3dpov</t>
  </si>
  <si>
    <t>Cliente_Secret</t>
  </si>
  <si>
    <t>css6mpnvip3nvqgvnt8vcmdep5mcorqjgk48850e5riu5087vcm</t>
  </si>
  <si>
    <t>Cliente_Base64</t>
  </si>
  <si>
    <t>M3M3aG1qMWpmMmZoZXN2ZHZmazdkM2Rwb3Y6Y3NzNm1wbnZpcDNudnFndm50OHZjbWRlcDVtY29ycWpnazQ4ODUwZTVyaXU1MDg3dmNt</t>
  </si>
  <si>
    <t>Cod_Acesso</t>
  </si>
  <si>
    <t>Token_Acesso</t>
  </si>
  <si>
    <t>Data_ini</t>
  </si>
  <si>
    <t>Data_fim</t>
  </si>
  <si>
    <t>Data_Fim</t>
  </si>
  <si>
    <t>Caminho</t>
  </si>
  <si>
    <t>Carrega transforma</t>
  </si>
  <si>
    <t>Atualiza</t>
  </si>
  <si>
    <t>Atualiza Tabela</t>
  </si>
  <si>
    <t>Inicio</t>
  </si>
  <si>
    <t>Fim</t>
  </si>
  <si>
    <t>Delta</t>
  </si>
  <si>
    <t>Carga</t>
  </si>
  <si>
    <t>Tipo</t>
  </si>
  <si>
    <t>1 mês fev/26</t>
  </si>
  <si>
    <t>3 mês jan a mar/26</t>
  </si>
  <si>
    <t>1 mês mar/26</t>
  </si>
  <si>
    <t>1 ano mar/25 a mar/26</t>
  </si>
  <si>
    <t>Data_venc_ini</t>
  </si>
  <si>
    <t>Data_venc_fim</t>
  </si>
  <si>
    <t>2 dias Data alteração 26/03/26 e 03 meses data vencimento</t>
  </si>
  <si>
    <t>1 mês Data alteração fev/26 e 3 meses data vencimento</t>
  </si>
  <si>
    <t>1 mês Data alteração fev/26 e 1 ano data vencimento</t>
  </si>
  <si>
    <t xml:space="preserve">26 dias Data alteração[fim em branco] mar/26 e 1 ano data vencimento - </t>
  </si>
  <si>
    <t xml:space="preserve">26 dias Data alteração[29/03/26 - Futuro] mar/26 e 1 ano data vencimento - </t>
  </si>
  <si>
    <t xml:space="preserve">26 dias Data alteração[fim do ano 31/12/26 - Futuro] mar/26 e 1 ano data vencimento - </t>
  </si>
  <si>
    <t xml:space="preserve">30 dias mar/26 e 3 meses data vencimento - </t>
  </si>
  <si>
    <t>https://auth.contaazul.com/login?response_type=code&amp;client_id=3s7hmj1jf2fhesvdvfk7d3dpov&amp;redirect_uri=https://www.postman.com/&amp;state=ESTADO&amp;scope=openid+profile+aws.cognito.signin.user.admin</t>
  </si>
  <si>
    <t>3d71c9c5-4a8d-4bd4-906f-7d4365faa5ed</t>
  </si>
  <si>
    <t>eyJraWQiOiJUa1BRbWs0UlR3M3RuWlZXcDdEanBURFhcL2RTajNvMU5SckI0R3I3ZzFTMD0iLCJhbGciOiJSUzI1NiJ9.eyJzdWIiOiJiNTlmZDdiZC0zNTY1LTQ3NDctYWFjMS0wNzgyMWI0ZjkzMmIiLCJpc3MiOiJodHRwczpcL1wvY29nbml0by1pZHAuc2EtZWFzdC0xLmFtYXpvbmF3cy5jb21cL3NhLWVhc3QtMV9WcDgzSjExd0EiLCJ2ZXJzaW9uIjoyLCJjbGllbnRfaWQiOiIzczdobWoxamYyZmhlc3ZkdmZrN2QzZHBvdiIsIm9yaWdpbl9qdGkiOiI5NWQ0M2MxYy01YTc4LTRmYzUtOGExMy0xNzlhZDQ2NzU4NGIiLCJldmVudF9pZCI6IjA1MWViYjI1LTlhYzQtNGY3Mi1iMmE5LWYxMmNhYjk1NDBkNSIsInRva2VuX3VzZSI6ImFjY2VzcyIsInNjb3BlIjoiYXdzLmNvZ25pdG8uc2lnbmluLnVzZXIuYWRtaW4gb3BlbmlkIHByb2ZpbGUiLCJhdXRoX3RpbWUiOjE3NzYwMjkwNDcsImV4cCI6MTc3NjAzMjY0NywiaWF0IjoxNzc2MDI5MDQ3LCJqdGkiOiIxYzFiYTdiZS0yMjUyLTQwYTgtYjhjMC0zMjY0NDUxYTIzZGEiLCJ1c2VybmFtZSI6Im1heHdlbGwuZ29vbWVzQGdtYWlsLmNvbSJ9.ThiHjTTDHg_fjdluWvRLHbZ7S52DLCgnPmC931qZFOf1k8xRCJyH-PCTobCzMNC8_44v5j3gWVorWW0vgJq14LXHIN0HxfhtdFallokx9Gruh-WHpYPn8oA8YdmGr35MIX-RqV5BfUXaElk9e595tzOkF_rz5kwOwEyHTP8BUSlUVcv6gdHUsr9-ZnPUQIBqJB8rIsdXLFLXAQh9iPxc_12NahbKb6wG7s14sCQ1JaIg3pe5ykdLeT2K15BahOA_e0NyZ09sykWDgSpkZ6HBO5UF_oPrqozVSfiISMORfBw5uAk8KTxQFQj88quOXnZQqO2E0VRI1krK1tWe-SGX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</si>
</sst>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1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h.contaazul.com/oauth2/authorize?response_type=code&amp;client_id=3s7hmj1jf2fhesvdvfk7d3dpov&amp;redirect_uri=https://www.postman.com/&amp;state=ESTADO&amp;scope=openid+profile+aws.cognito.signin.user.admi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4</xdr:row>
      <xdr:rowOff>161925</xdr:rowOff>
    </xdr:from>
    <xdr:to>
      <xdr:col>3</xdr:col>
      <xdr:colOff>561975</xdr:colOff>
      <xdr:row>6</xdr:row>
      <xdr:rowOff>133350</xdr:rowOff>
    </xdr:to>
    <xdr:sp macro="" textlink="">
      <xdr:nvSpPr>
        <xdr:cNvPr id="3" name="Seta: para a Esqu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81A094-5BD3-E6D4-7D4D-6CE297892195}"/>
            </a:ext>
          </a:extLst>
        </xdr:cNvPr>
        <xdr:cNvSpPr/>
      </xdr:nvSpPr>
      <xdr:spPr>
        <a:xfrm>
          <a:off x="5324475" y="923925"/>
          <a:ext cx="1114425" cy="352425"/>
        </a:xfrm>
        <a:prstGeom prst="lef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Codigo Acesso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8630D-8A29-4FB5-8000-5160647FD258}" name="Tabela2" displayName="Tabela2" ref="G9:K26" totalsRowShown="0">
  <autoFilter ref="G9:K26" xr:uid="{6038630D-8A29-4FB5-8000-5160647FD258}"/>
  <sortState xmlns:xlrd2="http://schemas.microsoft.com/office/spreadsheetml/2017/richdata2" ref="G10:K19">
    <sortCondition ref="K9:K19"/>
  </sortState>
  <tableColumns count="5">
    <tableColumn id="1" xr3:uid="{2CF3712A-4A04-4532-9AE4-EE48B9624043}" name="Tipo"/>
    <tableColumn id="2" xr3:uid="{0D9114D0-98DD-4BA3-8003-0CBCBD8EA0B0}" name="Carga"/>
    <tableColumn id="3" xr3:uid="{D2EA6A92-1491-49A2-B26A-76D977E4DE45}" name="Inicio" dataDxfId="4"/>
    <tableColumn id="4" xr3:uid="{4378566C-52A0-47D7-B524-C03E10085750}" name="Fim" dataDxfId="3"/>
    <tableColumn id="5" xr3:uid="{AFE1F2D2-7918-4D8F-9CC4-8639DACDDBC8}" name="Delta" dataDxfId="2">
      <calculatedColumnFormula>J10-I10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FC6988-B2A5-45EF-AD26-EFBF23CF7916}" name="Tb_Token" displayName="Tb_Token" ref="A1:B7" totalsRowShown="0">
  <autoFilter ref="A1:B7" xr:uid="{7BFC6988-B2A5-45EF-AD26-EFBF23CF7916}"/>
  <tableColumns count="2">
    <tableColumn id="2" xr3:uid="{55FDCCCE-DC60-4E53-BAF7-0B8F80D23C59}" name="Nome" dataDxfId="1"/>
    <tableColumn id="1" xr3:uid="{8392D684-A83F-4033-8CA3-DA99BAEB74AA}" name="Valor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2D998-7C0C-46CD-925D-8C57FA6328BD}" name="Tb_Acessos" displayName="Tb_Acessos" ref="A1:B11" totalsRowShown="0">
  <autoFilter ref="A1:B11" xr:uid="{C6B2D998-7C0C-46CD-925D-8C57FA6328BD}"/>
  <tableColumns count="2">
    <tableColumn id="1" xr3:uid="{6F9097BC-46E9-4031-ADE9-72E86927ED3B}" name="Nome"/>
    <tableColumn id="2" xr3:uid="{C170E788-2907-43E6-9BFC-7E7C94F71C6B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C8D3-7E1C-4A38-891E-85DA2F317FED}">
  <sheetPr codeName="Planilha1"/>
  <dimension ref="A1:K38"/>
  <sheetViews>
    <sheetView tabSelected="1" workbookViewId="0">
      <selection activeCell="B3" sqref="B3"/>
    </sheetView>
  </sheetViews>
  <sheetFormatPr defaultRowHeight="15" x14ac:dyDescent="0.25"/>
  <cols>
    <col min="1" max="1" width="14.85546875" customWidth="1"/>
    <col min="2" max="2" width="64.140625" customWidth="1"/>
    <col min="7" max="7" width="46.42578125" customWidth="1"/>
    <col min="8" max="8" width="16.7109375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11</v>
      </c>
      <c r="B2" s="4">
        <v>46083</v>
      </c>
    </row>
    <row r="3" spans="1:11" x14ac:dyDescent="0.25">
      <c r="A3" t="s">
        <v>12</v>
      </c>
      <c r="B3" s="4">
        <v>46124</v>
      </c>
      <c r="I3" s="7"/>
      <c r="J3" s="7"/>
      <c r="K3" s="7"/>
    </row>
    <row r="4" spans="1:11" x14ac:dyDescent="0.25">
      <c r="A4" t="s">
        <v>27</v>
      </c>
      <c r="B4" s="4">
        <v>46101</v>
      </c>
      <c r="I4" s="7"/>
      <c r="J4" s="7"/>
      <c r="K4" s="7"/>
    </row>
    <row r="5" spans="1:11" x14ac:dyDescent="0.25">
      <c r="A5" t="s">
        <v>28</v>
      </c>
      <c r="B5" s="4">
        <v>46124</v>
      </c>
      <c r="I5" s="7"/>
      <c r="J5" s="7"/>
      <c r="K5" s="7"/>
    </row>
    <row r="6" spans="1:11" x14ac:dyDescent="0.25">
      <c r="A6" t="s">
        <v>9</v>
      </c>
      <c r="B6" s="3" t="s">
        <v>37</v>
      </c>
      <c r="I6" s="7"/>
      <c r="J6" s="7"/>
      <c r="K6" s="7"/>
    </row>
    <row r="7" spans="1:11" ht="75" x14ac:dyDescent="0.25">
      <c r="A7" s="1" t="s">
        <v>10</v>
      </c>
      <c r="B7" s="2" t="s">
        <v>38</v>
      </c>
      <c r="G7" s="9" t="s">
        <v>36</v>
      </c>
      <c r="I7" s="7"/>
      <c r="J7" s="7"/>
      <c r="K7" s="7"/>
    </row>
    <row r="8" spans="1:11" x14ac:dyDescent="0.25">
      <c r="I8" s="7"/>
      <c r="J8" s="7"/>
      <c r="K8" s="7"/>
    </row>
    <row r="9" spans="1:11" x14ac:dyDescent="0.25">
      <c r="F9" s="7"/>
      <c r="G9" t="s">
        <v>22</v>
      </c>
      <c r="H9" t="s">
        <v>21</v>
      </c>
      <c r="I9" t="s">
        <v>18</v>
      </c>
      <c r="J9" t="s">
        <v>19</v>
      </c>
      <c r="K9" t="s">
        <v>20</v>
      </c>
    </row>
    <row r="10" spans="1:11" x14ac:dyDescent="0.25">
      <c r="F10" s="7"/>
      <c r="G10" t="s">
        <v>17</v>
      </c>
      <c r="H10" t="s">
        <v>23</v>
      </c>
      <c r="I10" s="7">
        <v>0.47158564814814813</v>
      </c>
      <c r="J10" s="7">
        <v>0.47225694444444444</v>
      </c>
      <c r="K10" s="7">
        <f t="shared" ref="K10:K25" si="0">J10-I10</f>
        <v>6.7129629629630871E-4</v>
      </c>
    </row>
    <row r="11" spans="1:11" x14ac:dyDescent="0.25">
      <c r="F11" s="6"/>
      <c r="G11" t="s">
        <v>17</v>
      </c>
      <c r="H11" t="s">
        <v>23</v>
      </c>
      <c r="I11" s="7">
        <v>0.47969907407407408</v>
      </c>
      <c r="J11" s="7">
        <v>0.48041666666666666</v>
      </c>
      <c r="K11" s="7">
        <f t="shared" si="0"/>
        <v>7.1759259259257524E-4</v>
      </c>
    </row>
    <row r="12" spans="1:11" x14ac:dyDescent="0.25">
      <c r="F12" s="7"/>
      <c r="G12" t="s">
        <v>17</v>
      </c>
      <c r="H12" t="s">
        <v>23</v>
      </c>
      <c r="I12" s="7">
        <v>0.47021990740740743</v>
      </c>
      <c r="J12" s="7">
        <v>0.47118055555555555</v>
      </c>
      <c r="K12" s="7">
        <f t="shared" si="0"/>
        <v>9.6064814814811328E-4</v>
      </c>
    </row>
    <row r="13" spans="1:11" x14ac:dyDescent="0.25">
      <c r="F13" s="7"/>
      <c r="G13" t="s">
        <v>17</v>
      </c>
      <c r="H13" t="s">
        <v>25</v>
      </c>
      <c r="I13" s="7">
        <v>0.48436342592592591</v>
      </c>
      <c r="J13" s="7">
        <v>0.48538194444444444</v>
      </c>
      <c r="K13" s="7">
        <f t="shared" si="0"/>
        <v>1.0185185185185297E-3</v>
      </c>
    </row>
    <row r="14" spans="1:11" x14ac:dyDescent="0.25">
      <c r="G14" t="s">
        <v>17</v>
      </c>
      <c r="H14" t="s">
        <v>24</v>
      </c>
      <c r="I14" s="7">
        <v>0.48226851851851854</v>
      </c>
      <c r="J14" s="7">
        <v>0.4836111111111111</v>
      </c>
      <c r="K14" s="7">
        <f t="shared" si="0"/>
        <v>1.3425925925925619E-3</v>
      </c>
    </row>
    <row r="15" spans="1:11" x14ac:dyDescent="0.25">
      <c r="F15" s="7"/>
      <c r="G15" t="s">
        <v>15</v>
      </c>
      <c r="H15" t="s">
        <v>23</v>
      </c>
      <c r="I15" s="7">
        <v>0.46631944444444445</v>
      </c>
      <c r="J15" s="7">
        <v>0.4679861111111111</v>
      </c>
      <c r="K15" s="7">
        <f t="shared" si="0"/>
        <v>1.6666666666666496E-3</v>
      </c>
    </row>
    <row r="16" spans="1:11" x14ac:dyDescent="0.25">
      <c r="F16" s="7"/>
      <c r="G16" t="s">
        <v>16</v>
      </c>
      <c r="H16" t="s">
        <v>23</v>
      </c>
      <c r="I16" s="7">
        <v>0.47523148148148148</v>
      </c>
      <c r="J16" s="7">
        <v>0.47690972222222222</v>
      </c>
      <c r="K16" s="7">
        <f t="shared" si="0"/>
        <v>1.678240740740744E-3</v>
      </c>
    </row>
    <row r="17" spans="6:11" x14ac:dyDescent="0.25">
      <c r="G17" t="s">
        <v>15</v>
      </c>
      <c r="H17" t="s">
        <v>23</v>
      </c>
      <c r="I17" s="7">
        <v>0.47291666666666665</v>
      </c>
      <c r="J17" s="7">
        <v>0.47461805555555553</v>
      </c>
      <c r="K17" s="7">
        <f t="shared" si="0"/>
        <v>1.7013888888888773E-3</v>
      </c>
    </row>
    <row r="18" spans="6:11" x14ac:dyDescent="0.25">
      <c r="F18" s="7"/>
      <c r="G18" t="s">
        <v>16</v>
      </c>
      <c r="H18" t="s">
        <v>23</v>
      </c>
      <c r="I18" s="7">
        <v>0.4775462962962963</v>
      </c>
      <c r="J18" s="7">
        <v>0.4792939814814815</v>
      </c>
      <c r="K18" s="7">
        <f t="shared" si="0"/>
        <v>1.7476851851851993E-3</v>
      </c>
    </row>
    <row r="19" spans="6:11" x14ac:dyDescent="0.25">
      <c r="F19" s="7"/>
      <c r="G19" t="s">
        <v>17</v>
      </c>
      <c r="H19" t="s">
        <v>26</v>
      </c>
      <c r="I19" s="7">
        <v>0.48643518518518519</v>
      </c>
      <c r="J19" s="7">
        <v>0.48884259259259261</v>
      </c>
      <c r="K19" s="7">
        <f t="shared" si="0"/>
        <v>2.4074074074074137E-3</v>
      </c>
    </row>
    <row r="20" spans="6:11" x14ac:dyDescent="0.25">
      <c r="G20" t="s">
        <v>17</v>
      </c>
      <c r="H20" t="s">
        <v>29</v>
      </c>
      <c r="I20" s="7">
        <v>0.73599537037037033</v>
      </c>
      <c r="J20" s="7">
        <v>0.73657407407407405</v>
      </c>
      <c r="K20" s="7">
        <f t="shared" si="0"/>
        <v>5.7870370370372015E-4</v>
      </c>
    </row>
    <row r="21" spans="6:11" x14ac:dyDescent="0.25">
      <c r="G21" t="s">
        <v>17</v>
      </c>
      <c r="H21" t="s">
        <v>30</v>
      </c>
      <c r="I21" s="7">
        <v>0.73747685185185186</v>
      </c>
      <c r="J21" s="7">
        <v>0.73872685185185183</v>
      </c>
      <c r="K21" s="7">
        <f t="shared" si="0"/>
        <v>1.2499999999999734E-3</v>
      </c>
    </row>
    <row r="22" spans="6:11" x14ac:dyDescent="0.25">
      <c r="F22" s="7"/>
      <c r="G22" t="s">
        <v>17</v>
      </c>
      <c r="H22" t="s">
        <v>31</v>
      </c>
      <c r="I22" s="7">
        <v>0.74203703703703705</v>
      </c>
      <c r="J22" s="7">
        <v>0.74331018518518521</v>
      </c>
      <c r="K22" s="7">
        <f t="shared" si="0"/>
        <v>1.2731481481481621E-3</v>
      </c>
    </row>
    <row r="23" spans="6:11" x14ac:dyDescent="0.25">
      <c r="F23" s="7"/>
      <c r="G23" t="s">
        <v>17</v>
      </c>
      <c r="H23" t="s">
        <v>32</v>
      </c>
      <c r="I23" s="7">
        <v>0.74613425925925925</v>
      </c>
      <c r="J23" s="7">
        <v>0.74692129629629633</v>
      </c>
      <c r="K23" s="7">
        <f t="shared" si="0"/>
        <v>7.8703703703708605E-4</v>
      </c>
    </row>
    <row r="24" spans="6:11" x14ac:dyDescent="0.25">
      <c r="G24" t="s">
        <v>17</v>
      </c>
      <c r="H24" t="s">
        <v>33</v>
      </c>
      <c r="I24" s="7">
        <v>0.74818287037037035</v>
      </c>
      <c r="J24" s="7">
        <v>0.7494791666666667</v>
      </c>
      <c r="K24" s="7">
        <f t="shared" si="0"/>
        <v>1.2962962962963509E-3</v>
      </c>
    </row>
    <row r="25" spans="6:11" x14ac:dyDescent="0.25">
      <c r="F25" s="7"/>
      <c r="G25" t="s">
        <v>17</v>
      </c>
      <c r="H25" t="s">
        <v>34</v>
      </c>
      <c r="I25" s="7">
        <v>0.75055555555555553</v>
      </c>
      <c r="J25" s="7">
        <v>0.75187499999999996</v>
      </c>
      <c r="K25" s="7">
        <f t="shared" si="0"/>
        <v>1.3194444444444287E-3</v>
      </c>
    </row>
    <row r="26" spans="6:11" x14ac:dyDescent="0.25">
      <c r="F26" s="7"/>
      <c r="G26" t="s">
        <v>17</v>
      </c>
      <c r="H26" t="s">
        <v>35</v>
      </c>
      <c r="I26" s="7">
        <v>0.44687500000000002</v>
      </c>
      <c r="J26" s="7">
        <v>0.44731481481481483</v>
      </c>
      <c r="K26" s="7">
        <f t="shared" ref="K26" si="1">J26-I26</f>
        <v>4.3981481481480955E-4</v>
      </c>
    </row>
    <row r="28" spans="6:11" x14ac:dyDescent="0.25">
      <c r="F28" s="7"/>
    </row>
    <row r="29" spans="6:11" x14ac:dyDescent="0.25">
      <c r="F29" s="7"/>
      <c r="G29" s="7"/>
    </row>
    <row r="31" spans="6:11" x14ac:dyDescent="0.25">
      <c r="F31" s="7"/>
    </row>
    <row r="32" spans="6:11" x14ac:dyDescent="0.25">
      <c r="F32" s="7"/>
      <c r="G32" s="7"/>
    </row>
    <row r="34" spans="6:7" x14ac:dyDescent="0.25">
      <c r="F34" s="7"/>
    </row>
    <row r="35" spans="6:7" x14ac:dyDescent="0.25">
      <c r="F35" s="7"/>
      <c r="G35" s="7"/>
    </row>
    <row r="37" spans="6:7" x14ac:dyDescent="0.25">
      <c r="F37" s="7"/>
    </row>
    <row r="38" spans="6:7" x14ac:dyDescent="0.25">
      <c r="F38" s="7"/>
      <c r="G38" s="7"/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7FD6-DE31-4533-9030-7B58135F451D}">
  <sheetPr codeName="Planilha2"/>
  <dimension ref="A1:D13"/>
  <sheetViews>
    <sheetView workbookViewId="0">
      <selection activeCell="B7" sqref="B7"/>
    </sheetView>
  </sheetViews>
  <sheetFormatPr defaultRowHeight="15" x14ac:dyDescent="0.25"/>
  <cols>
    <col min="1" max="1" width="19.28515625" customWidth="1"/>
    <col min="2" max="2" width="55.5703125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3" t="str">
        <f>Token!B6</f>
        <v>3d71c9c5-4a8d-4bd4-906f-7d4365faa5ed</v>
      </c>
    </row>
    <row r="3" spans="1:4" x14ac:dyDescent="0.25">
      <c r="A3" t="s">
        <v>3</v>
      </c>
      <c r="B3" t="s">
        <v>4</v>
      </c>
    </row>
    <row r="4" spans="1:4" x14ac:dyDescent="0.25">
      <c r="A4" s="10" t="s">
        <v>5</v>
      </c>
      <c r="B4" t="s">
        <v>6</v>
      </c>
    </row>
    <row r="5" spans="1:4" x14ac:dyDescent="0.25">
      <c r="A5" t="s">
        <v>7</v>
      </c>
      <c r="B5" t="s">
        <v>8</v>
      </c>
    </row>
    <row r="6" spans="1:4" x14ac:dyDescent="0.25">
      <c r="A6" t="s">
        <v>10</v>
      </c>
      <c r="B6" t="str">
        <f>Token!B7</f>
        <v>eyJraWQiOiJUa1BRbWs0UlR3M3RuWlZXcDdEanBURFhcL2RTajNvMU5SckI0R3I3ZzFTMD0iLCJhbGciOiJSUzI1NiJ9.eyJzdWIiOiJiNTlmZDdiZC0zNTY1LTQ3NDctYWFjMS0wNzgyMWI0ZjkzMmIiLCJpc3MiOiJodHRwczpcL1wvY29nbml0by1pZHAuc2EtZWFzdC0xLmFtYXpvbmF3cy5jb21cL3NhLWVhc3QtMV9WcDgzSjExd0EiLCJ2ZXJzaW9uIjoyLCJjbGllbnRfaWQiOiIzczdobWoxamYyZmhlc3ZkdmZrN2QzZHBvdiIsIm9yaWdpbl9qdGkiOiI5NWQ0M2MxYy01YTc4LTRmYzUtOGExMy0xNzlhZDQ2NzU4NGIiLCJldmVudF9pZCI6IjA1MWViYjI1LTlhYzQtNGY3Mi1iMmE5LWYxMmNhYjk1NDBkNSIsInRva2VuX3VzZSI6ImFjY2VzcyIsInNjb3BlIjoiYXdzLmNvZ25pdG8uc2lnbmluLnVzZXIuYWRtaW4gb3BlbmlkIHByb2ZpbGUiLCJhdXRoX3RpbWUiOjE3NzYwMjkwNDcsImV4cCI6MTc3NjAzMjY0NywiaWF0IjoxNzc2MDI5MDQ3LCJqdGkiOiIxYzFiYTdiZS0yMjUyLTQwYTgtYjhjMC0zMjY0NDUxYTIzZGEiLCJ1c2VybmFtZSI6Im1heHdlbGwuZ29vbWVzQGdtYWlsLmNvbSJ9.ThiHjTTDHg_fjdluWvRLHbZ7S52DLCgnPmC931qZFOf1k8xRCJyH-PCTobCzMNC8_44v5j3gWVorWW0vgJq14LXHIN0HxfhtdFallokx9Gruh-WHpYPn8oA8YdmGr35MIX-RqV5BfUXaElk9e595tzOkF_rz5kwOwEyHTP8BUSlUVcv6gdHUsr9-ZnPUQIBqJB8rIsdXLFLXAQh9iPxc_12NahbKb6wG7s14sCQ1JaIg3pe5ykdLeT2K15BahOA_e0NyZ09sykWDgSpkZ6HBO5UF_oPrqozVSfiISMORfBw5uAk8KTxQFQj88quOXnZQqO2E0VRI1krK1tWe-SGXCw</v>
      </c>
    </row>
    <row r="7" spans="1:4" x14ac:dyDescent="0.25">
      <c r="A7" t="s">
        <v>11</v>
      </c>
      <c r="B7" s="4">
        <f ca="1">IF(Token!B2&lt;&gt;"",Token!B2,TODAY()-30)</f>
        <v>46083</v>
      </c>
    </row>
    <row r="8" spans="1:4" x14ac:dyDescent="0.25">
      <c r="A8" t="s">
        <v>13</v>
      </c>
      <c r="B8" s="4">
        <f ca="1">IF(Token!B3&lt;&gt;"",Token!B3,TODAY())</f>
        <v>46124</v>
      </c>
      <c r="D8" s="8"/>
    </row>
    <row r="9" spans="1:4" x14ac:dyDescent="0.25">
      <c r="A9" t="s">
        <v>27</v>
      </c>
      <c r="B9" s="4">
        <f ca="1">IF(Token!B4&lt;&gt;"",Token!B4,TODAY()-3*30)</f>
        <v>46101</v>
      </c>
      <c r="D9" s="8"/>
    </row>
    <row r="10" spans="1:4" x14ac:dyDescent="0.25">
      <c r="A10" t="s">
        <v>28</v>
      </c>
      <c r="B10" s="4">
        <f ca="1">IF(Token!B5&lt;&gt;"",Token!B5,TODAY())</f>
        <v>46124</v>
      </c>
    </row>
    <row r="11" spans="1:4" x14ac:dyDescent="0.25">
      <c r="A11" t="s">
        <v>14</v>
      </c>
      <c r="B11" t="str" cm="1">
        <f t="array" aca="1" ref="B11" ca="1">_xlfn.LET(_xlpm.caminho,CELL("nome.arquivo"),_xlpm.num,LEN(_xlpm.caminho),_xlpm.ndir,SEARCH("[",_xlpm.caminho)-1,_xlpm.diretorio,LEFT(_xlpm.caminho,_xlpm.ndir),_xlpm.diretorio)</f>
        <v>F:\!_Dados Gerais\!!!_2026\PBI_Junior\Insumos\</v>
      </c>
    </row>
    <row r="13" spans="1:4" x14ac:dyDescent="0.25">
      <c r="B13" s="5"/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23A3FC-F6B5-4A45-86E3-88AB923CB7E1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Token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Martins Gomes</dc:creator>
  <cp:lastModifiedBy>Maxwell Martins Gomes</cp:lastModifiedBy>
  <dcterms:created xsi:type="dcterms:W3CDTF">2025-07-07T14:55:12Z</dcterms:created>
  <dcterms:modified xsi:type="dcterms:W3CDTF">2026-04-12T21:27:27Z</dcterms:modified>
</cp:coreProperties>
</file>