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!_Dados Gerais\!!_2025\PBI_Junior\"/>
    </mc:Choice>
  </mc:AlternateContent>
  <xr:revisionPtr revIDLastSave="0" documentId="13_ncr:1_{27C64D49-7F42-49FF-806F-9BDD5EED8D5C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PLANO.CONTAS" sheetId="48" r:id="rId1"/>
    <sheet name="Plano.Vinculacao_Conta.Azul" sheetId="51" r:id="rId2"/>
    <sheet name="TD_Plano.Contas" sheetId="50" r:id="rId3"/>
    <sheet name="TD_Fornecedores" sheetId="46" r:id="rId4"/>
    <sheet name="TD_Centro.Custos" sheetId="47" r:id="rId5"/>
    <sheet name="Grafico_2017" sheetId="21" state="hidden" r:id="rId6"/>
    <sheet name="Fluxo.Detalhado_2016" sheetId="22" state="hidden" r:id="rId7"/>
    <sheet name="FF_2017" sheetId="41" state="hidden" r:id="rId8"/>
    <sheet name="FF_2016" sheetId="30" state="hidden" r:id="rId9"/>
    <sheet name="Graficos_2018" sheetId="27" state="hidden" r:id="rId10"/>
    <sheet name="Comparativo.Entradas" sheetId="28" state="hidden" r:id="rId11"/>
    <sheet name="Comparativo.Colportagem" sheetId="29" state="hidden" r:id="rId12"/>
    <sheet name="CEAPE_2017" sheetId="15" state="hidden" r:id="rId13"/>
    <sheet name="Comparativo.Africa" sheetId="31" state="hidden" r:id="rId14"/>
    <sheet name="Comparativo.Obreiros" sheetId="32" state="hidden" r:id="rId15"/>
    <sheet name="Comparativo.DespGerais" sheetId="33" state="hidden" r:id="rId16"/>
    <sheet name="Comparativo.Obrig.Trab" sheetId="34" state="hidden" r:id="rId17"/>
    <sheet name="Comparativo.Desp.Financ.Trib" sheetId="35" state="hidden" r:id="rId18"/>
  </sheets>
  <externalReferences>
    <externalReference r:id="rId19"/>
    <externalReference r:id="rId20"/>
    <externalReference r:id="rId21"/>
  </externalReferences>
  <definedNames>
    <definedName name="_xlnm._FilterDatabase" localSheetId="0" hidden="1">PLANO.CONTAS!$B$1:$M$351</definedName>
    <definedName name="_xlnm._FilterDatabase" localSheetId="1" hidden="1">'Plano.Vinculacao_Conta.Azul'!$A$1:$B$168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0" l="1"/>
  <c r="A3" i="50"/>
  <c r="A4" i="50"/>
  <c r="A5" i="50"/>
  <c r="A6" i="50"/>
  <c r="A7" i="50"/>
  <c r="A8" i="50"/>
  <c r="A9" i="50"/>
  <c r="A10" i="50"/>
  <c r="A11" i="50"/>
  <c r="A12" i="50"/>
  <c r="A13" i="50"/>
  <c r="A14" i="50"/>
  <c r="A15" i="50"/>
  <c r="A16" i="50"/>
  <c r="A17" i="50"/>
  <c r="A18" i="50"/>
  <c r="A19" i="50"/>
  <c r="A20" i="50"/>
  <c r="A21" i="50"/>
  <c r="A22" i="50"/>
  <c r="A23" i="50"/>
  <c r="A24" i="50"/>
  <c r="A25" i="50"/>
  <c r="A26" i="50"/>
  <c r="A27" i="50"/>
  <c r="A28" i="50"/>
  <c r="A29" i="50"/>
  <c r="A30" i="50"/>
  <c r="A31" i="50"/>
  <c r="A32" i="50"/>
  <c r="A33" i="50"/>
  <c r="A34" i="50"/>
  <c r="A35" i="50"/>
  <c r="A36" i="50"/>
  <c r="A37" i="50"/>
  <c r="A38" i="50"/>
  <c r="A39" i="50"/>
  <c r="A40" i="50"/>
  <c r="A41" i="50"/>
  <c r="A42" i="50"/>
  <c r="A43" i="50"/>
  <c r="A44" i="50"/>
  <c r="A45" i="50"/>
  <c r="A46" i="50"/>
  <c r="A47" i="50"/>
  <c r="A48" i="50"/>
  <c r="A49" i="50"/>
  <c r="A50" i="50"/>
  <c r="A51" i="50"/>
  <c r="A52" i="50"/>
  <c r="A53" i="50"/>
  <c r="A54" i="50"/>
  <c r="A55" i="50"/>
  <c r="A56" i="50"/>
  <c r="A57" i="50"/>
  <c r="A58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6" i="50"/>
  <c r="A77" i="50"/>
  <c r="A78" i="50"/>
  <c r="A79" i="50"/>
  <c r="A80" i="50"/>
  <c r="A81" i="50"/>
  <c r="A82" i="50"/>
  <c r="A83" i="50"/>
  <c r="A84" i="50"/>
  <c r="A85" i="50"/>
  <c r="A86" i="50"/>
  <c r="A87" i="50"/>
  <c r="A88" i="50"/>
  <c r="A89" i="50"/>
  <c r="A90" i="50"/>
  <c r="A91" i="50"/>
  <c r="A92" i="50"/>
  <c r="A93" i="50"/>
  <c r="A94" i="50"/>
  <c r="A95" i="50"/>
  <c r="A96" i="50"/>
  <c r="A97" i="50"/>
  <c r="A98" i="50"/>
  <c r="A99" i="50"/>
  <c r="A100" i="50"/>
  <c r="A101" i="50"/>
  <c r="A102" i="50"/>
  <c r="A103" i="50"/>
  <c r="A104" i="50"/>
  <c r="A105" i="50"/>
  <c r="A106" i="50"/>
  <c r="A107" i="50"/>
  <c r="A108" i="50"/>
  <c r="A109" i="50"/>
  <c r="A110" i="50"/>
  <c r="A111" i="50"/>
  <c r="A112" i="50"/>
  <c r="A113" i="50"/>
  <c r="A114" i="50"/>
  <c r="A115" i="50"/>
  <c r="A116" i="50"/>
  <c r="A117" i="50"/>
  <c r="A118" i="50"/>
  <c r="A119" i="50"/>
  <c r="A120" i="50"/>
  <c r="A121" i="50"/>
  <c r="A122" i="50"/>
  <c r="A123" i="50"/>
  <c r="A124" i="50"/>
  <c r="A125" i="50"/>
  <c r="A126" i="50"/>
  <c r="A127" i="50"/>
  <c r="A128" i="50"/>
  <c r="A129" i="50"/>
  <c r="A130" i="50"/>
  <c r="A131" i="50"/>
  <c r="A132" i="50"/>
  <c r="A133" i="50"/>
  <c r="A134" i="50"/>
  <c r="A135" i="50"/>
  <c r="A136" i="50"/>
  <c r="A137" i="50"/>
  <c r="A138" i="50"/>
  <c r="A139" i="50"/>
  <c r="A140" i="50"/>
  <c r="A141" i="50"/>
  <c r="A142" i="50"/>
  <c r="A143" i="50"/>
  <c r="A144" i="50"/>
  <c r="A145" i="50"/>
  <c r="A146" i="50"/>
  <c r="A147" i="50"/>
  <c r="A148" i="50"/>
  <c r="A149" i="50"/>
  <c r="A150" i="50"/>
  <c r="A151" i="50"/>
  <c r="A152" i="50"/>
  <c r="A153" i="50"/>
  <c r="A154" i="50"/>
  <c r="A155" i="50"/>
  <c r="A156" i="50"/>
  <c r="A157" i="50"/>
  <c r="A158" i="50"/>
  <c r="A159" i="50"/>
  <c r="A160" i="50"/>
  <c r="A161" i="50"/>
  <c r="A162" i="50"/>
  <c r="A163" i="50"/>
  <c r="A164" i="50"/>
  <c r="A165" i="50"/>
  <c r="A166" i="50"/>
  <c r="A167" i="50"/>
  <c r="A168" i="50"/>
  <c r="A169" i="50"/>
  <c r="A170" i="50"/>
  <c r="A171" i="50"/>
  <c r="A172" i="50"/>
  <c r="A173" i="50"/>
  <c r="A174" i="50"/>
  <c r="A175" i="50"/>
  <c r="A176" i="50"/>
  <c r="A177" i="50"/>
  <c r="A178" i="50"/>
  <c r="A179" i="50"/>
  <c r="A180" i="50"/>
  <c r="A181" i="50"/>
  <c r="A182" i="50"/>
  <c r="A183" i="50"/>
  <c r="A184" i="50"/>
  <c r="A185" i="50"/>
  <c r="A186" i="50"/>
  <c r="A187" i="50"/>
  <c r="A188" i="50"/>
  <c r="A189" i="50"/>
  <c r="A190" i="50"/>
  <c r="A191" i="50"/>
  <c r="A192" i="50"/>
  <c r="A193" i="50"/>
  <c r="A194" i="50"/>
  <c r="A195" i="50"/>
  <c r="A196" i="50"/>
  <c r="A197" i="50"/>
  <c r="A198" i="50"/>
  <c r="A199" i="50"/>
  <c r="A200" i="50"/>
  <c r="A201" i="50"/>
  <c r="A202" i="50"/>
  <c r="A203" i="50"/>
  <c r="A204" i="50"/>
  <c r="A205" i="50"/>
  <c r="A206" i="50"/>
  <c r="A207" i="50"/>
  <c r="A208" i="50"/>
  <c r="A209" i="50"/>
  <c r="A210" i="50"/>
  <c r="A211" i="50"/>
  <c r="A212" i="50"/>
  <c r="A213" i="50"/>
  <c r="A214" i="50"/>
  <c r="A215" i="50"/>
  <c r="A216" i="50"/>
  <c r="A217" i="50"/>
  <c r="A218" i="50"/>
  <c r="A219" i="50"/>
  <c r="A220" i="50"/>
  <c r="A221" i="50"/>
  <c r="A222" i="50"/>
  <c r="A223" i="50"/>
  <c r="A224" i="50"/>
  <c r="A225" i="50"/>
  <c r="A226" i="50"/>
  <c r="A227" i="50"/>
  <c r="A228" i="50"/>
  <c r="A229" i="50"/>
  <c r="A230" i="50"/>
  <c r="A231" i="50"/>
  <c r="A232" i="50"/>
  <c r="A233" i="50"/>
  <c r="A234" i="50"/>
  <c r="A235" i="50"/>
  <c r="A236" i="50"/>
  <c r="A237" i="50"/>
  <c r="A238" i="50"/>
  <c r="A239" i="50"/>
  <c r="A240" i="50"/>
  <c r="A241" i="50"/>
  <c r="A242" i="50"/>
  <c r="A243" i="50"/>
  <c r="A244" i="50"/>
  <c r="A245" i="50"/>
  <c r="C163" i="51"/>
  <c r="C162" i="51"/>
  <c r="C161" i="51"/>
  <c r="C160" i="51"/>
  <c r="C159" i="51"/>
  <c r="C158" i="51"/>
  <c r="C157" i="51"/>
  <c r="C156" i="51"/>
  <c r="C155" i="51"/>
  <c r="C154" i="51"/>
  <c r="C153" i="51"/>
  <c r="C151" i="51"/>
  <c r="C150" i="51"/>
  <c r="C149" i="51"/>
  <c r="C148" i="51"/>
  <c r="C147" i="51"/>
  <c r="C146" i="51"/>
  <c r="C145" i="51"/>
  <c r="C144" i="51"/>
  <c r="C143" i="51"/>
  <c r="C142" i="51"/>
  <c r="C141" i="51"/>
  <c r="C140" i="51"/>
  <c r="C139" i="51"/>
  <c r="C138" i="51"/>
  <c r="C137" i="51"/>
  <c r="C136" i="51"/>
  <c r="C135" i="51"/>
  <c r="C134" i="51"/>
  <c r="C133" i="51"/>
  <c r="C132" i="51"/>
  <c r="C131" i="51"/>
  <c r="C130" i="51"/>
  <c r="C129" i="51"/>
  <c r="C128" i="51"/>
  <c r="C127" i="51"/>
  <c r="C126" i="51"/>
  <c r="C125" i="51"/>
  <c r="C124" i="51"/>
  <c r="C123" i="51"/>
  <c r="C122" i="51"/>
  <c r="C121" i="51"/>
  <c r="C120" i="51"/>
  <c r="C119" i="51"/>
  <c r="C118" i="51"/>
  <c r="C117" i="51"/>
  <c r="C116" i="51"/>
  <c r="C115" i="51"/>
  <c r="C114" i="51"/>
  <c r="C113" i="51"/>
  <c r="C112" i="51"/>
  <c r="C111" i="51"/>
  <c r="C110" i="51"/>
  <c r="C109" i="51"/>
  <c r="C108" i="51"/>
  <c r="C107" i="51"/>
  <c r="C106" i="51"/>
  <c r="C105" i="51"/>
  <c r="C104" i="51"/>
  <c r="C103" i="51"/>
  <c r="C102" i="51"/>
  <c r="C101" i="51"/>
  <c r="C100" i="51"/>
  <c r="C99" i="51"/>
  <c r="C98" i="51"/>
  <c r="C97" i="51"/>
  <c r="C96" i="51"/>
  <c r="C95" i="51"/>
  <c r="C94" i="51"/>
  <c r="C93" i="51"/>
  <c r="C92" i="51"/>
  <c r="C91" i="51"/>
  <c r="C90" i="51"/>
  <c r="C89" i="51"/>
  <c r="C88" i="51"/>
  <c r="C87" i="51"/>
  <c r="C86" i="51"/>
  <c r="C85" i="51"/>
  <c r="C84" i="51"/>
  <c r="C83" i="51"/>
  <c r="C82" i="51"/>
  <c r="C80" i="51"/>
  <c r="C78" i="51"/>
  <c r="C77" i="51"/>
  <c r="C76" i="51"/>
  <c r="C75" i="51"/>
  <c r="C74" i="51"/>
  <c r="C73" i="51"/>
  <c r="C72" i="51"/>
  <c r="C71" i="51"/>
  <c r="C70" i="51"/>
  <c r="C69" i="51"/>
  <c r="C68" i="51"/>
  <c r="C67" i="51"/>
  <c r="C66" i="51"/>
  <c r="C65" i="51"/>
  <c r="C64" i="51"/>
  <c r="C63" i="51"/>
  <c r="C62" i="51"/>
  <c r="C61" i="51"/>
  <c r="C60" i="51"/>
  <c r="C59" i="51"/>
  <c r="C58" i="51"/>
  <c r="C57" i="51"/>
  <c r="C56" i="51"/>
  <c r="C55" i="51"/>
  <c r="C54" i="51"/>
  <c r="C53" i="51"/>
  <c r="C52" i="51"/>
  <c r="C51" i="51"/>
  <c r="C50" i="51"/>
  <c r="C49" i="51"/>
  <c r="C48" i="51"/>
  <c r="C47" i="51"/>
  <c r="C46" i="51"/>
  <c r="C45" i="51"/>
  <c r="C44" i="51"/>
  <c r="C43" i="51"/>
  <c r="C41" i="51"/>
  <c r="C40" i="51"/>
  <c r="C38" i="51"/>
  <c r="C37" i="51"/>
  <c r="C36" i="51"/>
  <c r="C35" i="51"/>
  <c r="C33" i="51"/>
  <c r="C32" i="51"/>
  <c r="C30" i="51"/>
  <c r="C29" i="51"/>
  <c r="C28" i="51"/>
  <c r="C27" i="51"/>
  <c r="C26" i="51"/>
  <c r="C25" i="51"/>
  <c r="C24" i="51"/>
  <c r="C23" i="51"/>
  <c r="C22" i="51"/>
  <c r="C21" i="51"/>
  <c r="C20" i="51"/>
  <c r="C19" i="51"/>
  <c r="C18" i="51"/>
  <c r="C17" i="51"/>
  <c r="C15" i="51"/>
  <c r="C14" i="51"/>
  <c r="C13" i="51"/>
  <c r="C12" i="51"/>
  <c r="C11" i="51"/>
  <c r="C10" i="51"/>
  <c r="C9" i="51"/>
  <c r="C8" i="51"/>
  <c r="C7" i="51"/>
  <c r="C6" i="51"/>
  <c r="C5" i="51"/>
  <c r="C4" i="51"/>
  <c r="C3" i="51"/>
  <c r="C2" i="51"/>
  <c r="M8" i="27" l="1"/>
  <c r="L8" i="27"/>
  <c r="K8" i="27"/>
  <c r="J8" i="27"/>
  <c r="I8" i="27"/>
  <c r="H8" i="27"/>
  <c r="G8" i="27"/>
  <c r="F8" i="27"/>
  <c r="E8" i="27"/>
  <c r="D8" i="27"/>
  <c r="C8" i="27"/>
  <c r="B8" i="27"/>
  <c r="F11" i="35"/>
  <c r="F10" i="35"/>
  <c r="F9" i="35"/>
  <c r="F8" i="35"/>
  <c r="F7" i="35"/>
  <c r="F12" i="35" s="1"/>
  <c r="F22" i="34"/>
  <c r="F21" i="34"/>
  <c r="F20" i="34"/>
  <c r="F19" i="34"/>
  <c r="F13" i="34"/>
  <c r="F12" i="34"/>
  <c r="F11" i="34"/>
  <c r="F10" i="34"/>
  <c r="F9" i="34"/>
  <c r="F8" i="34"/>
  <c r="F7" i="34"/>
  <c r="G34" i="28"/>
  <c r="F34" i="28"/>
  <c r="F35" i="28" s="1"/>
  <c r="F33" i="28"/>
  <c r="F32" i="28"/>
  <c r="F23" i="28"/>
  <c r="F22" i="28"/>
  <c r="F21" i="28"/>
  <c r="F20" i="28"/>
  <c r="F19" i="28"/>
  <c r="C16" i="28"/>
  <c r="B16" i="28"/>
  <c r="F15" i="28"/>
  <c r="F14" i="28"/>
  <c r="F13" i="28"/>
  <c r="F12" i="28"/>
  <c r="F11" i="28"/>
  <c r="F10" i="28"/>
  <c r="F9" i="28"/>
  <c r="F8" i="28"/>
  <c r="F7" i="28"/>
  <c r="F16" i="28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F8" i="29"/>
  <c r="F24" i="29" s="1"/>
  <c r="F7" i="29"/>
  <c r="F17" i="31"/>
  <c r="F16" i="31"/>
  <c r="F15" i="31"/>
  <c r="F14" i="31"/>
  <c r="F13" i="31"/>
  <c r="F12" i="31"/>
  <c r="F11" i="31"/>
  <c r="F10" i="31"/>
  <c r="F9" i="31"/>
  <c r="F8" i="31"/>
  <c r="F7" i="31"/>
  <c r="F23" i="32"/>
  <c r="F22" i="32"/>
  <c r="F21" i="32"/>
  <c r="F20" i="32"/>
  <c r="F24" i="32" s="1"/>
  <c r="F19" i="32"/>
  <c r="F18" i="32"/>
  <c r="F14" i="32"/>
  <c r="F13" i="32"/>
  <c r="F12" i="32"/>
  <c r="F11" i="32"/>
  <c r="F10" i="32"/>
  <c r="F9" i="32"/>
  <c r="F8" i="32"/>
  <c r="F7" i="32"/>
  <c r="F26" i="33"/>
  <c r="F25" i="33"/>
  <c r="F24" i="33"/>
  <c r="F23" i="33"/>
  <c r="F22" i="33"/>
  <c r="F21" i="33"/>
  <c r="F20" i="33"/>
  <c r="F19" i="33"/>
  <c r="F18" i="33"/>
  <c r="F17" i="33"/>
  <c r="F16" i="33"/>
  <c r="F15" i="33"/>
  <c r="F14" i="33"/>
  <c r="F13" i="33"/>
  <c r="F12" i="33"/>
  <c r="F11" i="33"/>
  <c r="F10" i="33"/>
  <c r="F9" i="33"/>
  <c r="F8" i="33"/>
  <c r="F7" i="33"/>
  <c r="F27" i="33" s="1"/>
  <c r="F15" i="32"/>
  <c r="G18" i="31"/>
  <c r="F18" i="31"/>
  <c r="F19" i="31"/>
  <c r="F25" i="28"/>
  <c r="F24" i="28"/>
  <c r="F26" i="28" s="1"/>
  <c r="F29" i="28" s="1"/>
  <c r="M46" i="41"/>
  <c r="L46" i="41"/>
  <c r="K46" i="41"/>
  <c r="J46" i="41"/>
  <c r="I46" i="41"/>
  <c r="H46" i="41"/>
  <c r="G46" i="41"/>
  <c r="F46" i="41"/>
  <c r="E46" i="41"/>
  <c r="D46" i="41"/>
  <c r="C46" i="41"/>
  <c r="B46" i="41"/>
  <c r="L34" i="41"/>
  <c r="H34" i="41"/>
  <c r="D34" i="41"/>
  <c r="M34" i="41"/>
  <c r="K34" i="41"/>
  <c r="J34" i="41"/>
  <c r="I34" i="41"/>
  <c r="G34" i="41"/>
  <c r="F34" i="41"/>
  <c r="E34" i="41"/>
  <c r="C34" i="41"/>
  <c r="B34" i="41"/>
  <c r="O30" i="41"/>
  <c r="O29" i="41"/>
  <c r="L31" i="41"/>
  <c r="K31" i="41"/>
  <c r="J31" i="41"/>
  <c r="H31" i="41"/>
  <c r="H36" i="41" s="1"/>
  <c r="G31" i="41"/>
  <c r="F31" i="41"/>
  <c r="D31" i="41"/>
  <c r="C31" i="41"/>
  <c r="B31" i="41"/>
  <c r="O23" i="41"/>
  <c r="O22" i="41"/>
  <c r="O21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O17" i="41"/>
  <c r="O16" i="41"/>
  <c r="O15" i="41"/>
  <c r="L18" i="41"/>
  <c r="H18" i="41"/>
  <c r="D18" i="41"/>
  <c r="D36" i="41" s="1"/>
  <c r="D26" i="41"/>
  <c r="O14" i="41"/>
  <c r="O13" i="41"/>
  <c r="O12" i="41"/>
  <c r="M18" i="41"/>
  <c r="K18" i="41"/>
  <c r="K26" i="41" s="1"/>
  <c r="J18" i="41"/>
  <c r="J26" i="41"/>
  <c r="I18" i="41"/>
  <c r="I26" i="41"/>
  <c r="G18" i="41"/>
  <c r="F18" i="41"/>
  <c r="E18" i="41"/>
  <c r="E36" i="41" s="1"/>
  <c r="C18" i="41"/>
  <c r="C26" i="41" s="1"/>
  <c r="B18" i="41"/>
  <c r="O7" i="41"/>
  <c r="M8" i="41"/>
  <c r="L8" i="41"/>
  <c r="K8" i="41"/>
  <c r="K36" i="41" s="1"/>
  <c r="J8" i="41"/>
  <c r="I8" i="41"/>
  <c r="H8" i="41"/>
  <c r="G8" i="41"/>
  <c r="G36" i="41" s="1"/>
  <c r="F8" i="41"/>
  <c r="F36" i="41" s="1"/>
  <c r="E8" i="41"/>
  <c r="D8" i="41"/>
  <c r="C8" i="41"/>
  <c r="C36" i="41" s="1"/>
  <c r="B8" i="41"/>
  <c r="Q4" i="41"/>
  <c r="Q17" i="41" s="1"/>
  <c r="M26" i="41"/>
  <c r="B26" i="41"/>
  <c r="F26" i="41"/>
  <c r="G26" i="41"/>
  <c r="E31" i="41"/>
  <c r="I31" i="41"/>
  <c r="I36" i="41"/>
  <c r="M31" i="41"/>
  <c r="M36" i="41"/>
  <c r="L36" i="41"/>
  <c r="H26" i="41"/>
  <c r="E26" i="41"/>
  <c r="L26" i="41"/>
  <c r="B36" i="41"/>
  <c r="B38" i="41" s="1"/>
  <c r="C38" i="41" s="1"/>
  <c r="J36" i="41"/>
  <c r="O11" i="41"/>
  <c r="O20" i="41"/>
  <c r="O6" i="41"/>
  <c r="O8" i="41" s="1"/>
  <c r="O28" i="41"/>
  <c r="O31" i="41" s="1"/>
  <c r="R31" i="41" s="1"/>
  <c r="O33" i="41"/>
  <c r="O34" i="41" s="1"/>
  <c r="O24" i="41"/>
  <c r="O18" i="41"/>
  <c r="O26" i="41"/>
  <c r="M26" i="30"/>
  <c r="L26" i="30"/>
  <c r="K26" i="30"/>
  <c r="J26" i="30"/>
  <c r="I26" i="30"/>
  <c r="H26" i="30"/>
  <c r="G26" i="30"/>
  <c r="F26" i="30"/>
  <c r="E26" i="30"/>
  <c r="D26" i="30"/>
  <c r="C26" i="30"/>
  <c r="B26" i="30"/>
  <c r="C12" i="35"/>
  <c r="B12" i="35"/>
  <c r="D5" i="35"/>
  <c r="F23" i="34"/>
  <c r="F24" i="34" s="1"/>
  <c r="F27" i="34" s="1"/>
  <c r="F15" i="34"/>
  <c r="F14" i="34"/>
  <c r="F16" i="34"/>
  <c r="D23" i="34"/>
  <c r="C16" i="34"/>
  <c r="F17" i="34" s="1"/>
  <c r="B16" i="34"/>
  <c r="C24" i="34"/>
  <c r="D15" i="34"/>
  <c r="D14" i="34"/>
  <c r="B24" i="34"/>
  <c r="B27" i="34" s="1"/>
  <c r="D5" i="34"/>
  <c r="F13" i="35"/>
  <c r="B27" i="33"/>
  <c r="C27" i="33"/>
  <c r="D5" i="33"/>
  <c r="F28" i="33"/>
  <c r="C24" i="32"/>
  <c r="F25" i="32" s="1"/>
  <c r="B24" i="32"/>
  <c r="C15" i="32"/>
  <c r="B15" i="32"/>
  <c r="D5" i="32"/>
  <c r="G24" i="31"/>
  <c r="F24" i="31"/>
  <c r="G23" i="31"/>
  <c r="F23" i="31"/>
  <c r="G22" i="31"/>
  <c r="F22" i="31"/>
  <c r="G21" i="31"/>
  <c r="F21" i="31"/>
  <c r="F32" i="31" s="1"/>
  <c r="G31" i="31"/>
  <c r="G30" i="31"/>
  <c r="G29" i="31"/>
  <c r="G28" i="31"/>
  <c r="G27" i="31"/>
  <c r="G26" i="31"/>
  <c r="G25" i="31"/>
  <c r="C32" i="31"/>
  <c r="D31" i="31"/>
  <c r="D30" i="31"/>
  <c r="D29" i="31"/>
  <c r="D28" i="31"/>
  <c r="D27" i="31"/>
  <c r="D26" i="31"/>
  <c r="D25" i="31"/>
  <c r="D24" i="31"/>
  <c r="D23" i="31"/>
  <c r="D22" i="31"/>
  <c r="D21" i="31"/>
  <c r="D32" i="31" s="1"/>
  <c r="B32" i="31"/>
  <c r="G32" i="31" s="1"/>
  <c r="F16" i="32"/>
  <c r="C19" i="31"/>
  <c r="B19" i="31"/>
  <c r="F33" i="31" s="1"/>
  <c r="D5" i="31"/>
  <c r="M7" i="27"/>
  <c r="L7" i="27"/>
  <c r="K7" i="27"/>
  <c r="J7" i="27"/>
  <c r="I7" i="27"/>
  <c r="H7" i="27"/>
  <c r="G7" i="27"/>
  <c r="O7" i="27" s="1"/>
  <c r="Q7" i="27" s="1"/>
  <c r="F7" i="27"/>
  <c r="E7" i="27"/>
  <c r="D7" i="27"/>
  <c r="C7" i="27"/>
  <c r="B7" i="27"/>
  <c r="O34" i="30"/>
  <c r="O30" i="30"/>
  <c r="O29" i="30"/>
  <c r="O23" i="30"/>
  <c r="O22" i="30"/>
  <c r="O21" i="30"/>
  <c r="O17" i="30"/>
  <c r="O16" i="30"/>
  <c r="O15" i="30"/>
  <c r="O14" i="30"/>
  <c r="R14" i="30" s="1"/>
  <c r="O13" i="30"/>
  <c r="R13" i="30" s="1"/>
  <c r="O12" i="30"/>
  <c r="O7" i="30"/>
  <c r="Q4" i="30"/>
  <c r="Q12" i="30" s="1"/>
  <c r="B24" i="29"/>
  <c r="C24" i="29"/>
  <c r="F25" i="29"/>
  <c r="D5" i="29"/>
  <c r="B35" i="28"/>
  <c r="F36" i="28" s="1"/>
  <c r="C35" i="28"/>
  <c r="B26" i="28"/>
  <c r="F17" i="28"/>
  <c r="C26" i="28"/>
  <c r="F27" i="28"/>
  <c r="D5" i="28"/>
  <c r="Q11" i="27"/>
  <c r="A2" i="27"/>
  <c r="B29" i="28"/>
  <c r="C29" i="28"/>
  <c r="O35" i="30"/>
  <c r="O39" i="30"/>
  <c r="O28" i="30"/>
  <c r="O31" i="30"/>
  <c r="O11" i="30"/>
  <c r="O18" i="30" s="1"/>
  <c r="O26" i="30" s="1"/>
  <c r="O20" i="30"/>
  <c r="R20" i="30" s="1"/>
  <c r="O6" i="30"/>
  <c r="F30" i="28"/>
  <c r="O8" i="30"/>
  <c r="R21" i="30" s="1"/>
  <c r="R31" i="30"/>
  <c r="O24" i="30"/>
  <c r="R11" i="30"/>
  <c r="N6" i="21"/>
  <c r="A7" i="21"/>
  <c r="N7" i="21" s="1"/>
  <c r="Q2" i="15"/>
  <c r="D11" i="28"/>
  <c r="G11" i="28" s="1"/>
  <c r="R35" i="30" l="1"/>
  <c r="O36" i="41"/>
  <c r="R36" i="41" s="1"/>
  <c r="R13" i="41"/>
  <c r="R20" i="41"/>
  <c r="R15" i="41"/>
  <c r="R17" i="41"/>
  <c r="R22" i="41"/>
  <c r="R12" i="41"/>
  <c r="R14" i="41"/>
  <c r="R16" i="41"/>
  <c r="R11" i="41"/>
  <c r="R23" i="41"/>
  <c r="R21" i="41"/>
  <c r="R16" i="30"/>
  <c r="C27" i="34"/>
  <c r="F28" i="34" s="1"/>
  <c r="F25" i="34"/>
  <c r="R17" i="30"/>
  <c r="R22" i="30"/>
  <c r="R15" i="30"/>
  <c r="R34" i="30"/>
  <c r="R12" i="30"/>
  <c r="R18" i="30" s="1"/>
  <c r="R23" i="30"/>
  <c r="R24" i="30" s="1"/>
  <c r="O37" i="30"/>
  <c r="R37" i="30" s="1"/>
  <c r="Q31" i="30"/>
  <c r="Q15" i="30"/>
  <c r="Q11" i="30"/>
  <c r="Q6" i="30"/>
  <c r="Q26" i="30"/>
  <c r="Q24" i="30"/>
  <c r="Q20" i="30"/>
  <c r="Q22" i="30"/>
  <c r="Q23" i="30"/>
  <c r="Q35" i="30"/>
  <c r="O8" i="27"/>
  <c r="Q34" i="30"/>
  <c r="Q16" i="30"/>
  <c r="Q14" i="30"/>
  <c r="Q21" i="41"/>
  <c r="Q26" i="41"/>
  <c r="D38" i="41"/>
  <c r="C47" i="41"/>
  <c r="Q36" i="41"/>
  <c r="Q16" i="41"/>
  <c r="Q13" i="30"/>
  <c r="Q20" i="41"/>
  <c r="Q15" i="41"/>
  <c r="Q6" i="41"/>
  <c r="B47" i="41"/>
  <c r="Q14" i="41"/>
  <c r="Q7" i="30"/>
  <c r="Q31" i="41"/>
  <c r="Q13" i="41"/>
  <c r="Q21" i="30"/>
  <c r="Q23" i="41"/>
  <c r="Q12" i="41"/>
  <c r="Q17" i="30"/>
  <c r="Q11" i="41"/>
  <c r="Q22" i="41"/>
  <c r="Q7" i="41"/>
  <c r="Q24" i="41"/>
  <c r="K21" i="15"/>
  <c r="M9" i="27"/>
  <c r="B13" i="22"/>
  <c r="C20" i="22"/>
  <c r="C9" i="27"/>
  <c r="L21" i="22"/>
  <c r="M42" i="22"/>
  <c r="B99" i="22"/>
  <c r="J9" i="27"/>
  <c r="G9" i="27"/>
  <c r="I8" i="15"/>
  <c r="E21" i="15"/>
  <c r="F24" i="22"/>
  <c r="F6" i="21" s="1"/>
  <c r="M118" i="22"/>
  <c r="B4" i="15"/>
  <c r="L9" i="27"/>
  <c r="L77" i="22"/>
  <c r="K79" i="22"/>
  <c r="M25" i="22"/>
  <c r="H10" i="15"/>
  <c r="I7" i="22"/>
  <c r="M80" i="22"/>
  <c r="C25" i="22"/>
  <c r="E9" i="27"/>
  <c r="M17" i="15"/>
  <c r="K13" i="15"/>
  <c r="D100" i="22"/>
  <c r="H25" i="22"/>
  <c r="I13" i="15"/>
  <c r="G12" i="15"/>
  <c r="J12" i="15"/>
  <c r="L11" i="22"/>
  <c r="H78" i="22"/>
  <c r="M8" i="15"/>
  <c r="C4" i="15"/>
  <c r="D33" i="22"/>
  <c r="M13" i="15"/>
  <c r="I5" i="15"/>
  <c r="G4" i="15"/>
  <c r="L7" i="15"/>
  <c r="F12" i="22"/>
  <c r="B21" i="22"/>
  <c r="D65" i="22"/>
  <c r="E33" i="22"/>
  <c r="H58" i="22"/>
  <c r="H110" i="22"/>
  <c r="G78" i="22"/>
  <c r="D9" i="27"/>
  <c r="B9" i="27"/>
  <c r="K9" i="27"/>
  <c r="F9" i="27"/>
  <c r="H128" i="22"/>
  <c r="B128" i="22"/>
  <c r="F117" i="22"/>
  <c r="I46" i="22"/>
  <c r="K61" i="22"/>
  <c r="K42" i="22"/>
  <c r="G11" i="22"/>
  <c r="D63" i="22"/>
  <c r="B29" i="22"/>
  <c r="B59" i="22"/>
  <c r="M26" i="22"/>
  <c r="E6" i="22"/>
  <c r="D70" i="22"/>
  <c r="H42" i="22"/>
  <c r="L10" i="22"/>
  <c r="E125" i="22"/>
  <c r="K109" i="22"/>
  <c r="F110" i="22"/>
  <c r="F118" i="22"/>
  <c r="G59" i="22"/>
  <c r="K38" i="22"/>
  <c r="C5" i="22"/>
  <c r="L59" i="22"/>
  <c r="H127" i="22"/>
  <c r="F48" i="22"/>
  <c r="M23" i="22"/>
  <c r="H119" i="22"/>
  <c r="L65" i="22"/>
  <c r="D41" i="22"/>
  <c r="D7" i="22"/>
  <c r="J4" i="22"/>
  <c r="J24" i="22"/>
  <c r="J6" i="21" s="1"/>
  <c r="H21" i="15"/>
  <c r="D14" i="15"/>
  <c r="J5" i="15"/>
  <c r="G5" i="15"/>
  <c r="C13" i="15"/>
  <c r="M5" i="15"/>
  <c r="E11" i="15"/>
  <c r="E16" i="15"/>
  <c r="M94" i="22"/>
  <c r="G94" i="22"/>
  <c r="B78" i="22"/>
  <c r="J92" i="22"/>
  <c r="L78" i="22"/>
  <c r="G27" i="22"/>
  <c r="D99" i="22"/>
  <c r="J42" i="22"/>
  <c r="H91" i="22"/>
  <c r="E40" i="22"/>
  <c r="I12" i="22"/>
  <c r="H102" i="22"/>
  <c r="L49" i="22"/>
  <c r="H32" i="22"/>
  <c r="F26" i="22"/>
  <c r="L24" i="22"/>
  <c r="L6" i="21" s="1"/>
  <c r="F21" i="22"/>
  <c r="J14" i="15"/>
  <c r="D10" i="15"/>
  <c r="C8" i="15"/>
  <c r="E91" i="22"/>
  <c r="F97" i="22"/>
  <c r="G68" i="22"/>
  <c r="K31" i="22"/>
  <c r="D69" i="22"/>
  <c r="B74" i="22"/>
  <c r="E23" i="22"/>
  <c r="H80" i="22"/>
  <c r="L33" i="22"/>
  <c r="F11" i="22"/>
  <c r="B11" i="22"/>
  <c r="J7" i="15"/>
  <c r="D8" i="15"/>
  <c r="K10" i="15"/>
  <c r="I7" i="15"/>
  <c r="M12" i="15"/>
  <c r="G25" i="22"/>
  <c r="L25" i="22"/>
  <c r="G98" i="22"/>
  <c r="M60" i="22"/>
  <c r="H77" i="22"/>
  <c r="E128" i="22"/>
  <c r="F38" i="22"/>
  <c r="E41" i="22"/>
  <c r="M6" i="22"/>
  <c r="D48" i="22"/>
  <c r="H33" i="22"/>
  <c r="D22" i="22"/>
  <c r="D30" i="22"/>
  <c r="B6" i="15"/>
  <c r="L16" i="15"/>
  <c r="K5" i="15"/>
  <c r="C15" i="15"/>
  <c r="I4" i="15"/>
  <c r="M9" i="15"/>
  <c r="I15" i="15"/>
  <c r="K25" i="22"/>
  <c r="B25" i="22"/>
  <c r="G91" i="22"/>
  <c r="B110" i="22"/>
  <c r="F63" i="22"/>
  <c r="D110" i="22"/>
  <c r="B33" i="22"/>
  <c r="E34" i="22"/>
  <c r="D112" i="22"/>
  <c r="D45" i="22"/>
  <c r="D32" i="22"/>
  <c r="D20" i="22"/>
  <c r="F6" i="22"/>
  <c r="F15" i="15"/>
  <c r="H14" i="15"/>
  <c r="K6" i="15"/>
  <c r="G17" i="15"/>
  <c r="M4" i="15"/>
  <c r="E10" i="15"/>
  <c r="I16" i="15"/>
  <c r="D25" i="22"/>
  <c r="I25" i="22"/>
  <c r="I12" i="15"/>
  <c r="B15" i="15"/>
  <c r="D13" i="15"/>
  <c r="F10" i="15"/>
  <c r="J26" i="22"/>
  <c r="H11" i="22"/>
  <c r="D94" i="22"/>
  <c r="B61" i="22"/>
  <c r="H96" i="22"/>
  <c r="C62" i="22"/>
  <c r="G103" i="22"/>
  <c r="J25" i="22"/>
  <c r="I11" i="15"/>
  <c r="K14" i="15"/>
  <c r="F4" i="15"/>
  <c r="D17" i="15"/>
  <c r="D11" i="22"/>
  <c r="D21" i="22"/>
  <c r="L103" i="22"/>
  <c r="F70" i="22"/>
  <c r="G12" i="22"/>
  <c r="B77" i="22"/>
  <c r="M77" i="22"/>
  <c r="H38" i="22"/>
  <c r="I11" i="22"/>
  <c r="L109" i="22"/>
  <c r="K24" i="22"/>
  <c r="K6" i="21" s="1"/>
  <c r="E63" i="22"/>
  <c r="I109" i="22"/>
  <c r="E25" i="22"/>
  <c r="M16" i="15"/>
  <c r="E8" i="15"/>
  <c r="G10" i="15"/>
  <c r="H34" i="22"/>
  <c r="H44" i="22"/>
  <c r="I21" i="22"/>
  <c r="J38" i="22"/>
  <c r="K34" i="22"/>
  <c r="E69" i="22"/>
  <c r="M109" i="22"/>
  <c r="F25" i="22"/>
  <c r="E14" i="15"/>
  <c r="E7" i="15"/>
  <c r="G8" i="15"/>
  <c r="D6" i="15"/>
  <c r="J10" i="22"/>
  <c r="H59" i="22"/>
  <c r="I29" i="22"/>
  <c r="B43" i="22"/>
  <c r="G44" i="22"/>
  <c r="B85" i="22"/>
  <c r="L8" i="15"/>
  <c r="D16" i="15"/>
  <c r="F11" i="15"/>
  <c r="B17" i="15"/>
  <c r="B28" i="22"/>
  <c r="F7" i="22"/>
  <c r="H21" i="22"/>
  <c r="J6" i="22"/>
  <c r="J27" i="22"/>
  <c r="L19" i="22"/>
  <c r="D40" i="22"/>
  <c r="L48" i="22"/>
  <c r="L70" i="22"/>
  <c r="D105" i="22"/>
  <c r="E11" i="22"/>
  <c r="I26" i="22"/>
  <c r="I40" i="22"/>
  <c r="J63" i="22"/>
  <c r="D111" i="22"/>
  <c r="F42" i="22"/>
  <c r="L64" i="22"/>
  <c r="H126" i="22"/>
  <c r="C21" i="22"/>
  <c r="K41" i="22"/>
  <c r="D98" i="22"/>
  <c r="C68" i="22"/>
  <c r="F111" i="22"/>
  <c r="I70" i="22"/>
  <c r="B118" i="22"/>
  <c r="G101" i="22"/>
  <c r="I86" i="22"/>
  <c r="C119" i="22"/>
  <c r="H45" i="22"/>
  <c r="G41" i="22"/>
  <c r="K33" i="22"/>
  <c r="G30" i="22"/>
  <c r="K26" i="22"/>
  <c r="C22" i="22"/>
  <c r="K13" i="22"/>
  <c r="G10" i="22"/>
  <c r="K5" i="22"/>
  <c r="H118" i="22"/>
  <c r="D103" i="22"/>
  <c r="D92" i="22"/>
  <c r="D77" i="22"/>
  <c r="L68" i="22"/>
  <c r="L61" i="22"/>
  <c r="H49" i="22"/>
  <c r="J44" i="22"/>
  <c r="B42" i="22"/>
  <c r="F39" i="22"/>
  <c r="J33" i="22"/>
  <c r="B31" i="22"/>
  <c r="L125" i="22"/>
  <c r="D104" i="22"/>
  <c r="H94" i="22"/>
  <c r="D78" i="22"/>
  <c r="B69" i="22"/>
  <c r="F62" i="22"/>
  <c r="B53" i="22"/>
  <c r="M44" i="22"/>
  <c r="E42" i="22"/>
  <c r="I39" i="22"/>
  <c r="M33" i="22"/>
  <c r="E31" i="22"/>
  <c r="I28" i="22"/>
  <c r="M24" i="22"/>
  <c r="M6" i="21" s="1"/>
  <c r="E22" i="22"/>
  <c r="I19" i="22"/>
  <c r="M11" i="22"/>
  <c r="H92" i="22"/>
  <c r="J70" i="22"/>
  <c r="B60" i="22"/>
  <c r="K44" i="22"/>
  <c r="G40" i="22"/>
  <c r="G33" i="22"/>
  <c r="C30" i="22"/>
  <c r="G26" i="22"/>
  <c r="K21" i="22"/>
  <c r="G13" i="22"/>
  <c r="C10" i="22"/>
  <c r="G5" i="22"/>
  <c r="D117" i="22"/>
  <c r="L101" i="22"/>
  <c r="L91" i="22"/>
  <c r="D76" i="22"/>
  <c r="D68" i="22"/>
  <c r="D61" i="22"/>
  <c r="H48" i="22"/>
  <c r="F44" i="22"/>
  <c r="J41" i="22"/>
  <c r="B39" i="22"/>
  <c r="F33" i="22"/>
  <c r="J30" i="22"/>
  <c r="D118" i="22"/>
  <c r="L102" i="22"/>
  <c r="D93" i="22"/>
  <c r="L76" i="22"/>
  <c r="J68" i="22"/>
  <c r="J61" i="22"/>
  <c r="F49" i="22"/>
  <c r="I44" i="22"/>
  <c r="M41" i="22"/>
  <c r="E39" i="22"/>
  <c r="I33" i="22"/>
  <c r="M30" i="22"/>
  <c r="E28" i="22"/>
  <c r="I24" i="22"/>
  <c r="I6" i="21" s="1"/>
  <c r="M21" i="22"/>
  <c r="E19" i="22"/>
  <c r="C39" i="22"/>
  <c r="C32" i="22"/>
  <c r="G28" i="22"/>
  <c r="C24" i="22"/>
  <c r="C6" i="21" s="1"/>
  <c r="G20" i="22"/>
  <c r="K11" i="22"/>
  <c r="C7" i="22"/>
  <c r="G4" i="22"/>
  <c r="H111" i="22"/>
  <c r="L97" i="22"/>
  <c r="H84" i="22"/>
  <c r="D74" i="22"/>
  <c r="D64" i="22"/>
  <c r="D59" i="22"/>
  <c r="H46" i="22"/>
  <c r="F43" i="22"/>
  <c r="J40" i="22"/>
  <c r="B38" i="22"/>
  <c r="F32" i="22"/>
  <c r="J29" i="22"/>
  <c r="H112" i="22"/>
  <c r="L98" i="22"/>
  <c r="L85" i="22"/>
  <c r="J74" i="22"/>
  <c r="J64" i="22"/>
  <c r="J59" i="22"/>
  <c r="B47" i="22"/>
  <c r="I43" i="22"/>
  <c r="M40" i="22"/>
  <c r="E38" i="22"/>
  <c r="I32" i="22"/>
  <c r="M29" i="22"/>
  <c r="E27" i="22"/>
  <c r="I23" i="22"/>
  <c r="M20" i="22"/>
  <c r="I113" i="22"/>
  <c r="M97" i="22"/>
  <c r="E85" i="22"/>
  <c r="J125" i="22"/>
  <c r="K104" i="22"/>
  <c r="K96" i="22"/>
  <c r="C86" i="22"/>
  <c r="K76" i="22"/>
  <c r="J102" i="22"/>
  <c r="B80" i="22"/>
  <c r="M65" i="22"/>
  <c r="E58" i="22"/>
  <c r="J117" i="22"/>
  <c r="B97" i="22"/>
  <c r="C76" i="22"/>
  <c r="K63" i="22"/>
  <c r="K53" i="22"/>
  <c r="L104" i="22"/>
  <c r="F76" i="22"/>
  <c r="J48" i="22"/>
  <c r="C40" i="22"/>
  <c r="C31" i="22"/>
  <c r="G24" i="22"/>
  <c r="G6" i="21" s="1"/>
  <c r="C19" i="22"/>
  <c r="K6" i="22"/>
  <c r="H114" i="22"/>
  <c r="L94" i="22"/>
  <c r="L74" i="22"/>
  <c r="H62" i="22"/>
  <c r="L45" i="22"/>
  <c r="F41" i="22"/>
  <c r="F34" i="22"/>
  <c r="B30" i="22"/>
  <c r="H105" i="22"/>
  <c r="D84" i="22"/>
  <c r="B68" i="22"/>
  <c r="F58" i="22"/>
  <c r="M43" i="22"/>
  <c r="M39" i="22"/>
  <c r="E32" i="22"/>
  <c r="M27" i="22"/>
  <c r="M22" i="22"/>
  <c r="I13" i="22"/>
  <c r="I10" i="22"/>
  <c r="M5" i="22"/>
  <c r="L117" i="22"/>
  <c r="D101" i="22"/>
  <c r="L86" i="22"/>
  <c r="D75" i="22"/>
  <c r="H64" i="22"/>
  <c r="L58" i="22"/>
  <c r="L46" i="22"/>
  <c r="H43" i="22"/>
  <c r="L40" i="22"/>
  <c r="D31" i="22"/>
  <c r="D23" i="22"/>
  <c r="L12" i="22"/>
  <c r="D6" i="22"/>
  <c r="L30" i="22"/>
  <c r="B23" i="22"/>
  <c r="J12" i="22"/>
  <c r="B6" i="22"/>
  <c r="H30" i="22"/>
  <c r="H23" i="22"/>
  <c r="D13" i="22"/>
  <c r="D29" i="22"/>
  <c r="B5" i="22"/>
  <c r="L5" i="22"/>
  <c r="J5" i="22"/>
  <c r="D5" i="22"/>
  <c r="B21" i="15"/>
  <c r="B14" i="15"/>
  <c r="F14" i="15"/>
  <c r="F5" i="15"/>
  <c r="B16" i="15"/>
  <c r="L17" i="15"/>
  <c r="D15" i="15"/>
  <c r="H12" i="15"/>
  <c r="L9" i="15"/>
  <c r="D7" i="15"/>
  <c r="H4" i="15"/>
  <c r="F12" i="15"/>
  <c r="C6" i="15"/>
  <c r="K8" i="15"/>
  <c r="G11" i="15"/>
  <c r="C14" i="15"/>
  <c r="K16" i="15"/>
  <c r="I112" i="22"/>
  <c r="E97" i="22"/>
  <c r="M83" i="22"/>
  <c r="G117" i="22"/>
  <c r="C104" i="22"/>
  <c r="K95" i="22"/>
  <c r="G85" i="22"/>
  <c r="L119" i="22"/>
  <c r="F99" i="22"/>
  <c r="F79" i="22"/>
  <c r="E65" i="22"/>
  <c r="M53" i="22"/>
  <c r="B112" i="22"/>
  <c r="F93" i="22"/>
  <c r="C75" i="22"/>
  <c r="G63" i="22"/>
  <c r="K49" i="22"/>
  <c r="D102" i="22"/>
  <c r="F69" i="22"/>
  <c r="B48" i="22"/>
  <c r="G39" i="22"/>
  <c r="K30" i="22"/>
  <c r="K23" i="22"/>
  <c r="K12" i="22"/>
  <c r="G6" i="22"/>
  <c r="L112" i="22"/>
  <c r="H93" i="22"/>
  <c r="H70" i="22"/>
  <c r="H60" i="22"/>
  <c r="G45" i="22"/>
  <c r="B41" i="22"/>
  <c r="B34" i="22"/>
  <c r="F29" i="22"/>
  <c r="H101" i="22"/>
  <c r="L80" i="22"/>
  <c r="F65" i="22"/>
  <c r="J53" i="22"/>
  <c r="E43" i="22"/>
  <c r="M38" i="22"/>
  <c r="M31" i="22"/>
  <c r="I27" i="22"/>
  <c r="I22" i="22"/>
  <c r="E13" i="22"/>
  <c r="E10" i="22"/>
  <c r="I5" i="22"/>
  <c r="H113" i="22"/>
  <c r="L99" i="22"/>
  <c r="H85" i="22"/>
  <c r="H74" i="22"/>
  <c r="H63" i="22"/>
  <c r="D58" i="22"/>
  <c r="D46" i="22"/>
  <c r="D43" i="22"/>
  <c r="H40" i="22"/>
  <c r="L29" i="22"/>
  <c r="H22" i="22"/>
  <c r="D12" i="22"/>
  <c r="H5" i="22"/>
  <c r="H29" i="22"/>
  <c r="F22" i="22"/>
  <c r="B12" i="22"/>
  <c r="F5" i="22"/>
  <c r="L28" i="22"/>
  <c r="L22" i="22"/>
  <c r="H12" i="22"/>
  <c r="F27" i="22"/>
  <c r="H31" i="22"/>
  <c r="H4" i="22"/>
  <c r="F4" i="22"/>
  <c r="M21" i="15"/>
  <c r="B5" i="15"/>
  <c r="J15" i="15"/>
  <c r="J6" i="15"/>
  <c r="F17" i="15"/>
  <c r="H17" i="15"/>
  <c r="L14" i="15"/>
  <c r="D12" i="15"/>
  <c r="H9" i="15"/>
  <c r="L6" i="15"/>
  <c r="D4" i="15"/>
  <c r="J13" i="15"/>
  <c r="G6" i="15"/>
  <c r="C9" i="15"/>
  <c r="K11" i="15"/>
  <c r="G14" i="15"/>
  <c r="C17" i="15"/>
  <c r="M127" i="22"/>
  <c r="E104" i="22"/>
  <c r="E93" i="22"/>
  <c r="E78" i="22"/>
  <c r="C113" i="22"/>
  <c r="K100" i="22"/>
  <c r="K93" i="22"/>
  <c r="C80" i="22"/>
  <c r="J111" i="22"/>
  <c r="F94" i="22"/>
  <c r="M74" i="22"/>
  <c r="I62" i="22"/>
  <c r="M46" i="22"/>
  <c r="B103" i="22"/>
  <c r="F85" i="22"/>
  <c r="G69" i="22"/>
  <c r="C61" i="22"/>
  <c r="K46" i="22"/>
  <c r="L87" i="22"/>
  <c r="J62" i="22"/>
  <c r="C44" i="22"/>
  <c r="G34" i="22"/>
  <c r="C28" i="22"/>
  <c r="G21" i="22"/>
  <c r="C11" i="22"/>
  <c r="K4" i="22"/>
  <c r="H104" i="22"/>
  <c r="D83" i="22"/>
  <c r="H65" i="22"/>
  <c r="L53" i="22"/>
  <c r="J43" i="22"/>
  <c r="J39" i="22"/>
  <c r="B32" i="22"/>
  <c r="D114" i="22"/>
  <c r="D96" i="22"/>
  <c r="F75" i="22"/>
  <c r="B63" i="22"/>
  <c r="F46" i="22"/>
  <c r="I41" i="22"/>
  <c r="I34" i="22"/>
  <c r="E30" i="22"/>
  <c r="E26" i="22"/>
  <c r="I20" i="22"/>
  <c r="E12" i="22"/>
  <c r="E7" i="22"/>
  <c r="I4" i="22"/>
  <c r="H109" i="22"/>
  <c r="H95" i="22"/>
  <c r="D79" i="22"/>
  <c r="H69" i="22"/>
  <c r="H61" i="22"/>
  <c r="D49" i="22"/>
  <c r="L44" i="22"/>
  <c r="D42" i="22"/>
  <c r="H39" i="22"/>
  <c r="D27" i="22"/>
  <c r="H20" i="22"/>
  <c r="D10" i="22"/>
  <c r="D38" i="22"/>
  <c r="B27" i="22"/>
  <c r="F20" i="22"/>
  <c r="B10" i="22"/>
  <c r="D39" i="22"/>
  <c r="L26" i="22"/>
  <c r="L20" i="22"/>
  <c r="H10" i="22"/>
  <c r="F19" i="22"/>
  <c r="B24" i="22"/>
  <c r="B26" i="22"/>
  <c r="J22" i="22"/>
  <c r="G21" i="15"/>
  <c r="L21" i="15"/>
  <c r="B9" i="15"/>
  <c r="J4" i="15"/>
  <c r="J10" i="15"/>
  <c r="J8" i="15"/>
  <c r="H16" i="15"/>
  <c r="L13" i="15"/>
  <c r="D11" i="15"/>
  <c r="H8" i="15"/>
  <c r="L5" i="15"/>
  <c r="B7" i="15"/>
  <c r="J17" i="15"/>
  <c r="K4" i="15"/>
  <c r="G7" i="15"/>
  <c r="C10" i="15"/>
  <c r="K12" i="15"/>
  <c r="G15" i="15"/>
  <c r="J127" i="22"/>
  <c r="M93" i="22"/>
  <c r="F127" i="22"/>
  <c r="K99" i="22"/>
  <c r="G83" i="22"/>
  <c r="F105" i="22"/>
  <c r="E75" i="22"/>
  <c r="E59" i="22"/>
  <c r="F102" i="22"/>
  <c r="K74" i="22"/>
  <c r="C59" i="22"/>
  <c r="L96" i="22"/>
  <c r="F53" i="22"/>
  <c r="C33" i="22"/>
  <c r="C23" i="22"/>
  <c r="K7" i="22"/>
  <c r="L105" i="22"/>
  <c r="H75" i="22"/>
  <c r="D53" i="22"/>
  <c r="F40" i="22"/>
  <c r="F31" i="22"/>
  <c r="H97" i="22"/>
  <c r="J69" i="22"/>
  <c r="K45" i="22"/>
  <c r="I38" i="22"/>
  <c r="E29" i="22"/>
  <c r="E21" i="22"/>
  <c r="M10" i="22"/>
  <c r="E4" i="22"/>
  <c r="H98" i="22"/>
  <c r="H76" i="22"/>
  <c r="D62" i="22"/>
  <c r="H47" i="22"/>
  <c r="L41" i="22"/>
  <c r="H28" i="22"/>
  <c r="D19" i="22"/>
  <c r="D4" i="22"/>
  <c r="J23" i="22"/>
  <c r="J7" i="22"/>
  <c r="D28" i="22"/>
  <c r="H19" i="22"/>
  <c r="B22" i="22"/>
  <c r="F10" i="22"/>
  <c r="B20" i="22"/>
  <c r="F21" i="15"/>
  <c r="J11" i="15"/>
  <c r="F9" i="15"/>
  <c r="L15" i="15"/>
  <c r="H11" i="15"/>
  <c r="H7" i="15"/>
  <c r="F16" i="15"/>
  <c r="C7" i="15"/>
  <c r="C11" i="15"/>
  <c r="K15" i="15"/>
  <c r="I6" i="15"/>
  <c r="E9" i="15"/>
  <c r="M11" i="15"/>
  <c r="I14" i="15"/>
  <c r="E17" i="15"/>
  <c r="B126" i="22"/>
  <c r="I91" i="22"/>
  <c r="C117" i="22"/>
  <c r="K98" i="22"/>
  <c r="C83" i="22"/>
  <c r="F103" i="22"/>
  <c r="M70" i="22"/>
  <c r="E49" i="22"/>
  <c r="F100" i="22"/>
  <c r="G70" i="22"/>
  <c r="C58" i="22"/>
  <c r="L84" i="22"/>
  <c r="B46" i="22"/>
  <c r="K32" i="22"/>
  <c r="K22" i="22"/>
  <c r="G7" i="22"/>
  <c r="H100" i="22"/>
  <c r="L69" i="22"/>
  <c r="L47" i="22"/>
  <c r="B40" i="22"/>
  <c r="F30" i="22"/>
  <c r="L95" i="22"/>
  <c r="B64" i="22"/>
  <c r="F45" i="22"/>
  <c r="M34" i="22"/>
  <c r="M28" i="22"/>
  <c r="E20" i="22"/>
  <c r="M7" i="22"/>
  <c r="D125" i="22"/>
  <c r="D97" i="22"/>
  <c r="L75" i="22"/>
  <c r="L60" i="22"/>
  <c r="J45" i="22"/>
  <c r="H41" i="22"/>
  <c r="L27" i="22"/>
  <c r="H13" i="22"/>
  <c r="L34" i="22"/>
  <c r="J21" i="22"/>
  <c r="B7" i="22"/>
  <c r="H27" i="22"/>
  <c r="L13" i="22"/>
  <c r="J13" i="22"/>
  <c r="L38" i="22"/>
  <c r="J11" i="22"/>
  <c r="I21" i="15"/>
  <c r="B13" i="15"/>
  <c r="B12" i="15"/>
  <c r="H15" i="15"/>
  <c r="L10" i="15"/>
  <c r="H6" i="15"/>
  <c r="K7" i="15"/>
  <c r="C12" i="15"/>
  <c r="C16" i="15"/>
  <c r="E4" i="15"/>
  <c r="M6" i="15"/>
  <c r="I9" i="15"/>
  <c r="E12" i="15"/>
  <c r="M14" i="15"/>
  <c r="I17" i="15"/>
  <c r="M101" i="22"/>
  <c r="E83" i="22"/>
  <c r="C110" i="22"/>
  <c r="C94" i="22"/>
  <c r="C77" i="22"/>
  <c r="J93" i="22"/>
  <c r="M63" i="22"/>
  <c r="E46" i="22"/>
  <c r="F87" i="22"/>
  <c r="K65" i="22"/>
  <c r="C46" i="22"/>
  <c r="F68" i="22"/>
  <c r="C42" i="22"/>
  <c r="C29" i="22"/>
  <c r="G19" i="22"/>
  <c r="C4" i="22"/>
  <c r="H87" i="22"/>
  <c r="L63" i="22"/>
  <c r="B44" i="22"/>
  <c r="J34" i="22"/>
  <c r="L113" i="22"/>
  <c r="H79" i="22"/>
  <c r="F60" i="22"/>
  <c r="I42" i="22"/>
  <c r="M32" i="22"/>
  <c r="E24" i="22"/>
  <c r="E6" i="21" s="1"/>
  <c r="M12" i="22"/>
  <c r="I6" i="22"/>
  <c r="L110" i="22"/>
  <c r="D91" i="22"/>
  <c r="H68" i="22"/>
  <c r="H53" i="22"/>
  <c r="D44" i="22"/>
  <c r="L39" i="22"/>
  <c r="L23" i="22"/>
  <c r="L7" i="22"/>
  <c r="F28" i="22"/>
  <c r="B19" i="22"/>
  <c r="B4" i="22"/>
  <c r="D24" i="22"/>
  <c r="D6" i="21" s="1"/>
  <c r="H7" i="22"/>
  <c r="L32" i="22"/>
  <c r="J20" i="22"/>
  <c r="D21" i="15"/>
  <c r="B10" i="15"/>
  <c r="F7" i="15"/>
  <c r="H13" i="15"/>
  <c r="D9" i="15"/>
  <c r="D5" i="15"/>
  <c r="F8" i="15"/>
  <c r="C5" i="15"/>
  <c r="G9" i="15"/>
  <c r="G13" i="15"/>
  <c r="K17" i="15"/>
  <c r="E5" i="15"/>
  <c r="M7" i="15"/>
  <c r="I10" i="15"/>
  <c r="E13" i="15"/>
  <c r="M15" i="15"/>
  <c r="B11" i="15"/>
  <c r="L4" i="15"/>
  <c r="L11" i="15"/>
  <c r="F13" i="15"/>
  <c r="F6" i="15"/>
  <c r="J21" i="15"/>
  <c r="F23" i="22"/>
  <c r="D34" i="22"/>
  <c r="D26" i="22"/>
  <c r="F13" i="22"/>
  <c r="L4" i="22"/>
  <c r="H24" i="22"/>
  <c r="H6" i="21" s="1"/>
  <c r="L42" i="22"/>
  <c r="D60" i="22"/>
  <c r="L83" i="22"/>
  <c r="M4" i="22"/>
  <c r="M13" i="22"/>
  <c r="I30" i="22"/>
  <c r="E44" i="22"/>
  <c r="B76" i="22"/>
  <c r="J31" i="22"/>
  <c r="B45" i="22"/>
  <c r="L79" i="22"/>
  <c r="C6" i="22"/>
  <c r="K27" i="22"/>
  <c r="B58" i="22"/>
  <c r="C48" i="22"/>
  <c r="B79" i="22"/>
  <c r="E48" i="22"/>
  <c r="J85" i="22"/>
  <c r="K86" i="22"/>
  <c r="K111" i="22"/>
  <c r="E99" i="22"/>
  <c r="E15" i="15"/>
  <c r="M10" i="15"/>
  <c r="E6" i="15"/>
  <c r="G16" i="15"/>
  <c r="K9" i="15"/>
  <c r="J9" i="15"/>
  <c r="H5" i="15"/>
  <c r="L12" i="15"/>
  <c r="B8" i="15"/>
  <c r="J16" i="15"/>
  <c r="C21" i="15"/>
  <c r="J28" i="22"/>
  <c r="H6" i="22"/>
  <c r="L31" i="22"/>
  <c r="J19" i="22"/>
  <c r="L6" i="22"/>
  <c r="H26" i="22"/>
  <c r="L43" i="22"/>
  <c r="L62" i="22"/>
  <c r="L92" i="22"/>
  <c r="E5" i="22"/>
  <c r="M19" i="22"/>
  <c r="I31" i="22"/>
  <c r="J47" i="22"/>
  <c r="D87" i="22"/>
  <c r="J32" i="22"/>
  <c r="D47" i="22"/>
  <c r="D86" i="22"/>
  <c r="K10" i="22"/>
  <c r="G29" i="22"/>
  <c r="F61" i="22"/>
  <c r="G48" i="22"/>
  <c r="F84" i="22"/>
  <c r="M59" i="22"/>
  <c r="B95" i="22"/>
  <c r="C91" i="22"/>
  <c r="G113" i="22"/>
  <c r="I101" i="22"/>
  <c r="H9" i="27"/>
  <c r="I9" i="27"/>
  <c r="C43" i="22"/>
  <c r="B49" i="22"/>
  <c r="J65" i="22"/>
  <c r="H83" i="22"/>
  <c r="H103" i="22"/>
  <c r="C47" i="22"/>
  <c r="G58" i="22"/>
  <c r="C63" i="22"/>
  <c r="C69" i="22"/>
  <c r="G76" i="22"/>
  <c r="B91" i="22"/>
  <c r="B101" i="22"/>
  <c r="B117" i="22"/>
  <c r="I47" i="22"/>
  <c r="I59" i="22"/>
  <c r="E64" i="22"/>
  <c r="E74" i="22"/>
  <c r="J84" i="22"/>
  <c r="J96" i="22"/>
  <c r="B109" i="22"/>
  <c r="H125" i="22"/>
  <c r="H129" i="22" s="1"/>
  <c r="G80" i="22"/>
  <c r="K87" i="22"/>
  <c r="G95" i="22"/>
  <c r="G100" i="22"/>
  <c r="C105" i="22"/>
  <c r="C114" i="22"/>
  <c r="I77" i="22"/>
  <c r="M84" i="22"/>
  <c r="I93" i="22"/>
  <c r="M99" i="22"/>
  <c r="E110" i="22"/>
  <c r="M126" i="22"/>
  <c r="G127" i="22"/>
  <c r="K119" i="22"/>
  <c r="E127" i="22"/>
  <c r="I119" i="22"/>
  <c r="J119" i="22"/>
  <c r="I114" i="22"/>
  <c r="M111" i="22"/>
  <c r="E109" i="22"/>
  <c r="I103" i="22"/>
  <c r="M100" i="22"/>
  <c r="E98" i="22"/>
  <c r="D128" i="22"/>
  <c r="C126" i="22"/>
  <c r="K128" i="22"/>
  <c r="M125" i="22"/>
  <c r="B127" i="22"/>
  <c r="M117" i="22"/>
  <c r="E113" i="22"/>
  <c r="I110" i="22"/>
  <c r="M104" i="22"/>
  <c r="E102" i="22"/>
  <c r="I99" i="22"/>
  <c r="M96" i="22"/>
  <c r="K127" i="22"/>
  <c r="C125" i="22"/>
  <c r="I127" i="22"/>
  <c r="M119" i="22"/>
  <c r="F125" i="22"/>
  <c r="M114" i="22"/>
  <c r="E112" i="22"/>
  <c r="L128" i="22"/>
  <c r="G125" i="22"/>
  <c r="E126" i="22"/>
  <c r="B119" i="22"/>
  <c r="M112" i="22"/>
  <c r="M105" i="22"/>
  <c r="I102" i="22"/>
  <c r="M98" i="22"/>
  <c r="I95" i="22"/>
  <c r="M92" i="22"/>
  <c r="E87" i="22"/>
  <c r="I84" i="22"/>
  <c r="M79" i="22"/>
  <c r="E77" i="22"/>
  <c r="B125" i="22"/>
  <c r="K114" i="22"/>
  <c r="C112" i="22"/>
  <c r="G109" i="22"/>
  <c r="K103" i="22"/>
  <c r="C128" i="22"/>
  <c r="K118" i="22"/>
  <c r="E119" i="22"/>
  <c r="I117" i="22"/>
  <c r="E111" i="22"/>
  <c r="I104" i="22"/>
  <c r="E101" i="22"/>
  <c r="I97" i="22"/>
  <c r="I94" i="22"/>
  <c r="M91" i="22"/>
  <c r="E86" i="22"/>
  <c r="I83" i="22"/>
  <c r="M78" i="22"/>
  <c r="M128" i="22"/>
  <c r="G118" i="22"/>
  <c r="K113" i="22"/>
  <c r="C111" i="22"/>
  <c r="G105" i="22"/>
  <c r="K102" i="22"/>
  <c r="C100" i="22"/>
  <c r="G97" i="22"/>
  <c r="K94" i="22"/>
  <c r="C92" i="22"/>
  <c r="G86" i="22"/>
  <c r="K83" i="22"/>
  <c r="C79" i="22"/>
  <c r="J128" i="22"/>
  <c r="J114" i="22"/>
  <c r="J109" i="22"/>
  <c r="F101" i="22"/>
  <c r="B96" i="22"/>
  <c r="J87" i="22"/>
  <c r="J80" i="22"/>
  <c r="M75" i="22"/>
  <c r="E70" i="22"/>
  <c r="I65" i="22"/>
  <c r="M62" i="22"/>
  <c r="E60" i="22"/>
  <c r="I53" i="22"/>
  <c r="M47" i="22"/>
  <c r="E45" i="22"/>
  <c r="F113" i="22"/>
  <c r="B105" i="22"/>
  <c r="J99" i="22"/>
  <c r="B94" i="22"/>
  <c r="B86" i="22"/>
  <c r="F78" i="22"/>
  <c r="C127" i="22"/>
  <c r="F128" i="22"/>
  <c r="G128" i="22"/>
  <c r="E117" i="22"/>
  <c r="M110" i="22"/>
  <c r="I128" i="22"/>
  <c r="I126" i="22"/>
  <c r="E114" i="22"/>
  <c r="I105" i="22"/>
  <c r="I100" i="22"/>
  <c r="E96" i="22"/>
  <c r="I92" i="22"/>
  <c r="M85" i="22"/>
  <c r="I80" i="22"/>
  <c r="M76" i="22"/>
  <c r="C118" i="22"/>
  <c r="K112" i="22"/>
  <c r="C109" i="22"/>
  <c r="G102" i="22"/>
  <c r="G99" i="22"/>
  <c r="G96" i="22"/>
  <c r="G93" i="22"/>
  <c r="G87" i="22"/>
  <c r="G84" i="22"/>
  <c r="G79" i="22"/>
  <c r="D127" i="22"/>
  <c r="J113" i="22"/>
  <c r="J104" i="22"/>
  <c r="J98" i="22"/>
  <c r="B93" i="22"/>
  <c r="B84" i="22"/>
  <c r="E76" i="22"/>
  <c r="M69" i="22"/>
  <c r="M64" i="22"/>
  <c r="M61" i="22"/>
  <c r="M58" i="22"/>
  <c r="M48" i="22"/>
  <c r="M45" i="22"/>
  <c r="F114" i="22"/>
  <c r="F104" i="22"/>
  <c r="F98" i="22"/>
  <c r="B92" i="22"/>
  <c r="B83" i="22"/>
  <c r="K75" i="22"/>
  <c r="C70" i="22"/>
  <c r="G65" i="22"/>
  <c r="K62" i="22"/>
  <c r="C60" i="22"/>
  <c r="G53" i="22"/>
  <c r="K47" i="22"/>
  <c r="L114" i="22"/>
  <c r="L100" i="22"/>
  <c r="H86" i="22"/>
  <c r="J75" i="22"/>
  <c r="B65" i="22"/>
  <c r="F59" i="22"/>
  <c r="F47" i="22"/>
  <c r="K43" i="22"/>
  <c r="C41" i="22"/>
  <c r="G38" i="22"/>
  <c r="K126" i="22"/>
  <c r="I125" i="22"/>
  <c r="M113" i="22"/>
  <c r="E105" i="22"/>
  <c r="E100" i="22"/>
  <c r="M95" i="22"/>
  <c r="E92" i="22"/>
  <c r="I85" i="22"/>
  <c r="E80" i="22"/>
  <c r="I76" i="22"/>
  <c r="K117" i="22"/>
  <c r="G112" i="22"/>
  <c r="K105" i="22"/>
  <c r="C102" i="22"/>
  <c r="C99" i="22"/>
  <c r="C96" i="22"/>
  <c r="C93" i="22"/>
  <c r="C87" i="22"/>
  <c r="C84" i="22"/>
  <c r="K78" i="22"/>
  <c r="L126" i="22"/>
  <c r="B113" i="22"/>
  <c r="B104" i="22"/>
  <c r="B98" i="22"/>
  <c r="F92" i="22"/>
  <c r="F83" i="22"/>
  <c r="I75" i="22"/>
  <c r="I69" i="22"/>
  <c r="I64" i="22"/>
  <c r="I61" i="22"/>
  <c r="I58" i="22"/>
  <c r="I48" i="22"/>
  <c r="I45" i="22"/>
  <c r="J112" i="22"/>
  <c r="J103" i="22"/>
  <c r="J97" i="22"/>
  <c r="J91" i="22"/>
  <c r="F80" i="22"/>
  <c r="G75" i="22"/>
  <c r="K69" i="22"/>
  <c r="C65" i="22"/>
  <c r="G62" i="22"/>
  <c r="K59" i="22"/>
  <c r="C53" i="22"/>
  <c r="G47" i="22"/>
  <c r="D113" i="22"/>
  <c r="H99" i="22"/>
  <c r="D85" i="22"/>
  <c r="B75" i="22"/>
  <c r="F64" i="22"/>
  <c r="J58" i="22"/>
  <c r="J46" i="22"/>
  <c r="G43" i="22"/>
  <c r="K40" i="22"/>
  <c r="C38" i="22"/>
  <c r="G32" i="22"/>
  <c r="K29" i="22"/>
  <c r="C27" i="22"/>
  <c r="G23" i="22"/>
  <c r="K20" i="22"/>
  <c r="C13" i="22"/>
  <c r="G119" i="22"/>
  <c r="J126" i="22"/>
  <c r="I111" i="22"/>
  <c r="E103" i="22"/>
  <c r="I98" i="22"/>
  <c r="E94" i="22"/>
  <c r="M87" i="22"/>
  <c r="E84" i="22"/>
  <c r="I78" i="22"/>
  <c r="F126" i="22"/>
  <c r="G114" i="22"/>
  <c r="K110" i="22"/>
  <c r="G104" i="22"/>
  <c r="C101" i="22"/>
  <c r="C98" i="22"/>
  <c r="C95" i="22"/>
  <c r="K91" i="22"/>
  <c r="K85" i="22"/>
  <c r="K80" i="22"/>
  <c r="K77" i="22"/>
  <c r="J118" i="22"/>
  <c r="B111" i="22"/>
  <c r="B102" i="22"/>
  <c r="J95" i="22"/>
  <c r="F86" i="22"/>
  <c r="J78" i="22"/>
  <c r="I74" i="22"/>
  <c r="I68" i="22"/>
  <c r="I63" i="22"/>
  <c r="I60" i="22"/>
  <c r="E53" i="22"/>
  <c r="E47" i="22"/>
  <c r="D119" i="22"/>
  <c r="J110" i="22"/>
  <c r="J101" i="22"/>
  <c r="F95" i="22"/>
  <c r="J86" i="22"/>
  <c r="J77" i="22"/>
  <c r="G74" i="22"/>
  <c r="K68" i="22"/>
  <c r="C64" i="22"/>
  <c r="G61" i="22"/>
  <c r="K58" i="22"/>
  <c r="C49" i="22"/>
  <c r="G46" i="22"/>
  <c r="D109" i="22"/>
  <c r="D95" i="22"/>
  <c r="D80" i="22"/>
  <c r="B70" i="22"/>
  <c r="B62" i="22"/>
  <c r="J49" i="22"/>
  <c r="C45" i="22"/>
  <c r="G42" i="22"/>
  <c r="K39" i="22"/>
  <c r="C34" i="22"/>
  <c r="G31" i="22"/>
  <c r="K28" i="22"/>
  <c r="C26" i="22"/>
  <c r="G22" i="22"/>
  <c r="K19" i="22"/>
  <c r="C12" i="22"/>
  <c r="L111" i="22"/>
  <c r="K48" i="22"/>
  <c r="G60" i="22"/>
  <c r="G64" i="22"/>
  <c r="K70" i="22"/>
  <c r="J79" i="22"/>
  <c r="J94" i="22"/>
  <c r="J105" i="22"/>
  <c r="D126" i="22"/>
  <c r="I49" i="22"/>
  <c r="E61" i="22"/>
  <c r="E68" i="22"/>
  <c r="J76" i="22"/>
  <c r="B87" i="22"/>
  <c r="B100" i="22"/>
  <c r="F112" i="22"/>
  <c r="G77" i="22"/>
  <c r="K84" i="22"/>
  <c r="G92" i="22"/>
  <c r="C97" i="22"/>
  <c r="K101" i="22"/>
  <c r="G110" i="22"/>
  <c r="L118" i="22"/>
  <c r="E79" i="22"/>
  <c r="M86" i="22"/>
  <c r="E95" i="22"/>
  <c r="M102" i="22"/>
  <c r="E118" i="22"/>
  <c r="K125" i="22"/>
  <c r="J60" i="22"/>
  <c r="F74" i="22"/>
  <c r="L93" i="22"/>
  <c r="H117" i="22"/>
  <c r="H120" i="22" s="1"/>
  <c r="G49" i="22"/>
  <c r="K60" i="22"/>
  <c r="K64" i="22"/>
  <c r="C74" i="22"/>
  <c r="J83" i="22"/>
  <c r="F96" i="22"/>
  <c r="F109" i="22"/>
  <c r="L127" i="22"/>
  <c r="M49" i="22"/>
  <c r="E62" i="22"/>
  <c r="M68" i="22"/>
  <c r="M71" i="22" s="1"/>
  <c r="F77" i="22"/>
  <c r="F91" i="22"/>
  <c r="J100" i="22"/>
  <c r="B114" i="22"/>
  <c r="C78" i="22"/>
  <c r="C85" i="22"/>
  <c r="K92" i="22"/>
  <c r="K97" i="22"/>
  <c r="C103" i="22"/>
  <c r="G111" i="22"/>
  <c r="F119" i="22"/>
  <c r="I79" i="22"/>
  <c r="I87" i="22"/>
  <c r="I96" i="22"/>
  <c r="M103" i="22"/>
  <c r="I118" i="22"/>
  <c r="G126" i="22"/>
  <c r="R24" i="41" l="1"/>
  <c r="R26" i="41" s="1"/>
  <c r="Q37" i="30"/>
  <c r="R26" i="30"/>
  <c r="R18" i="41"/>
  <c r="F120" i="22"/>
  <c r="Q8" i="30"/>
  <c r="K14" i="22"/>
  <c r="L88" i="22"/>
  <c r="F71" i="22"/>
  <c r="H71" i="22"/>
  <c r="Q18" i="30"/>
  <c r="D71" i="22"/>
  <c r="O33" i="22"/>
  <c r="D19" i="32"/>
  <c r="G19" i="32" s="1"/>
  <c r="D8" i="22"/>
  <c r="Q18" i="41"/>
  <c r="D47" i="41"/>
  <c r="E38" i="41"/>
  <c r="Q8" i="41"/>
  <c r="O13" i="22"/>
  <c r="O8" i="15"/>
  <c r="Q8" i="15" s="1"/>
  <c r="M8" i="22"/>
  <c r="H115" i="22"/>
  <c r="H122" i="22" s="1"/>
  <c r="D8" i="32"/>
  <c r="G8" i="32" s="1"/>
  <c r="E129" i="22"/>
  <c r="E71" i="22"/>
  <c r="D14" i="22"/>
  <c r="M35" i="22"/>
  <c r="M7" i="21" s="1"/>
  <c r="I71" i="22"/>
  <c r="K129" i="22"/>
  <c r="D11" i="35"/>
  <c r="G11" i="35" s="1"/>
  <c r="D115" i="22"/>
  <c r="K120" i="22"/>
  <c r="O85" i="22"/>
  <c r="O25" i="22"/>
  <c r="K115" i="22"/>
  <c r="O78" i="22"/>
  <c r="F81" i="22"/>
  <c r="D33" i="28"/>
  <c r="G33" i="28" s="1"/>
  <c r="D15" i="31"/>
  <c r="G15" i="31" s="1"/>
  <c r="C18" i="15"/>
  <c r="C23" i="15" s="1"/>
  <c r="K50" i="22"/>
  <c r="K55" i="22" s="1"/>
  <c r="D15" i="28"/>
  <c r="G15" i="28" s="1"/>
  <c r="I129" i="22"/>
  <c r="D12" i="29"/>
  <c r="G12" i="29" s="1"/>
  <c r="M66" i="22"/>
  <c r="D10" i="29"/>
  <c r="G10" i="29" s="1"/>
  <c r="C115" i="22"/>
  <c r="O9" i="27"/>
  <c r="Q9" i="27" s="1"/>
  <c r="J14" i="22"/>
  <c r="G106" i="22"/>
  <c r="D23" i="33"/>
  <c r="G23" i="33" s="1"/>
  <c r="O110" i="22"/>
  <c r="D10" i="28"/>
  <c r="G10" i="28" s="1"/>
  <c r="O114" i="22"/>
  <c r="K35" i="22"/>
  <c r="K7" i="21" s="1"/>
  <c r="K71" i="22"/>
  <c r="L115" i="22"/>
  <c r="I14" i="22"/>
  <c r="G81" i="22"/>
  <c r="O102" i="22"/>
  <c r="O94" i="22"/>
  <c r="J115" i="22"/>
  <c r="O127" i="22"/>
  <c r="O49" i="22"/>
  <c r="J35" i="22"/>
  <c r="J7" i="21" s="1"/>
  <c r="I106" i="22"/>
  <c r="O32" i="22"/>
  <c r="O11" i="22"/>
  <c r="O61" i="22"/>
  <c r="G18" i="15"/>
  <c r="G23" i="15" s="1"/>
  <c r="F8" i="22"/>
  <c r="O12" i="22"/>
  <c r="H66" i="22"/>
  <c r="O112" i="22"/>
  <c r="O5" i="22"/>
  <c r="L66" i="22"/>
  <c r="J81" i="22"/>
  <c r="G8" i="22"/>
  <c r="E35" i="22"/>
  <c r="E7" i="21" s="1"/>
  <c r="L129" i="22"/>
  <c r="L71" i="22"/>
  <c r="O111" i="22"/>
  <c r="J66" i="22"/>
  <c r="O65" i="22"/>
  <c r="O84" i="22"/>
  <c r="I88" i="22"/>
  <c r="I120" i="22"/>
  <c r="C129" i="22"/>
  <c r="M129" i="22"/>
  <c r="E81" i="22"/>
  <c r="O43" i="22"/>
  <c r="O79" i="22"/>
  <c r="O76" i="22"/>
  <c r="O10" i="15"/>
  <c r="O44" i="22"/>
  <c r="O126" i="22"/>
  <c r="J50" i="22"/>
  <c r="J55" i="22" s="1"/>
  <c r="G71" i="22"/>
  <c r="H8" i="22"/>
  <c r="E14" i="22"/>
  <c r="O48" i="22"/>
  <c r="G120" i="22"/>
  <c r="O80" i="22"/>
  <c r="L106" i="22"/>
  <c r="I35" i="22"/>
  <c r="I7" i="21" s="1"/>
  <c r="O31" i="22"/>
  <c r="F88" i="22"/>
  <c r="O93" i="22"/>
  <c r="O105" i="22"/>
  <c r="O119" i="22"/>
  <c r="L8" i="22"/>
  <c r="E88" i="22"/>
  <c r="H50" i="22"/>
  <c r="H55" i="22" s="1"/>
  <c r="B18" i="15"/>
  <c r="B23" i="15" s="1"/>
  <c r="O5" i="15"/>
  <c r="D66" i="22"/>
  <c r="M88" i="22"/>
  <c r="H18" i="15"/>
  <c r="H23" i="15" s="1"/>
  <c r="L14" i="22"/>
  <c r="O30" i="22"/>
  <c r="E50" i="22"/>
  <c r="E55" i="22" s="1"/>
  <c r="O39" i="22"/>
  <c r="O53" i="22"/>
  <c r="O21" i="22"/>
  <c r="F115" i="22"/>
  <c r="F122" i="22" s="1"/>
  <c r="O100" i="22"/>
  <c r="O75" i="22"/>
  <c r="B81" i="22"/>
  <c r="M115" i="22"/>
  <c r="M106" i="22"/>
  <c r="G66" i="22"/>
  <c r="C106" i="22"/>
  <c r="B66" i="22"/>
  <c r="O58" i="22"/>
  <c r="L18" i="15"/>
  <c r="L23" i="15" s="1"/>
  <c r="O7" i="22"/>
  <c r="O64" i="22"/>
  <c r="I18" i="15"/>
  <c r="I23" i="15" s="1"/>
  <c r="E8" i="22"/>
  <c r="G88" i="22"/>
  <c r="K18" i="15"/>
  <c r="K23" i="15" s="1"/>
  <c r="O7" i="15"/>
  <c r="J18" i="15"/>
  <c r="J23" i="15" s="1"/>
  <c r="O10" i="22"/>
  <c r="B14" i="22"/>
  <c r="I8" i="22"/>
  <c r="O103" i="22"/>
  <c r="O21" i="15"/>
  <c r="Q21" i="15" s="1"/>
  <c r="C35" i="22"/>
  <c r="C7" i="21" s="1"/>
  <c r="J71" i="22"/>
  <c r="D120" i="22"/>
  <c r="F50" i="22"/>
  <c r="F55" i="22" s="1"/>
  <c r="K66" i="22"/>
  <c r="I81" i="22"/>
  <c r="O98" i="22"/>
  <c r="G50" i="22"/>
  <c r="G55" i="22" s="1"/>
  <c r="E120" i="22"/>
  <c r="K88" i="22"/>
  <c r="O128" i="22"/>
  <c r="G115" i="22"/>
  <c r="G129" i="22"/>
  <c r="O95" i="22"/>
  <c r="C8" i="22"/>
  <c r="O20" i="22"/>
  <c r="D35" i="22"/>
  <c r="D7" i="21" s="1"/>
  <c r="M14" i="22"/>
  <c r="O9" i="15"/>
  <c r="O26" i="22"/>
  <c r="O63" i="22"/>
  <c r="H81" i="22"/>
  <c r="O16" i="15"/>
  <c r="D81" i="22"/>
  <c r="O69" i="22"/>
  <c r="O42" i="22"/>
  <c r="O118" i="22"/>
  <c r="O28" i="22"/>
  <c r="O17" i="15"/>
  <c r="O87" i="22"/>
  <c r="F106" i="22"/>
  <c r="J88" i="22"/>
  <c r="O62" i="22"/>
  <c r="C50" i="22"/>
  <c r="C55" i="22" s="1"/>
  <c r="I66" i="22"/>
  <c r="O104" i="22"/>
  <c r="O99" i="22"/>
  <c r="E106" i="22"/>
  <c r="O83" i="22"/>
  <c r="B88" i="22"/>
  <c r="I115" i="22"/>
  <c r="E115" i="22"/>
  <c r="O117" i="22"/>
  <c r="B120" i="22"/>
  <c r="O11" i="15"/>
  <c r="B8" i="22"/>
  <c r="O4" i="22"/>
  <c r="G35" i="22"/>
  <c r="G7" i="21" s="1"/>
  <c r="M18" i="15"/>
  <c r="M23" i="15" s="1"/>
  <c r="O12" i="15"/>
  <c r="D129" i="22"/>
  <c r="O46" i="22"/>
  <c r="C88" i="22"/>
  <c r="F14" i="22"/>
  <c r="O59" i="22"/>
  <c r="B6" i="21"/>
  <c r="O6" i="21" s="1"/>
  <c r="O24" i="22"/>
  <c r="O27" i="22"/>
  <c r="D88" i="22"/>
  <c r="O4" i="15"/>
  <c r="D18" i="15"/>
  <c r="D23" i="15" s="1"/>
  <c r="O34" i="22"/>
  <c r="O6" i="15"/>
  <c r="F18" i="15"/>
  <c r="F23" i="15" s="1"/>
  <c r="O6" i="22"/>
  <c r="L120" i="22"/>
  <c r="O97" i="22"/>
  <c r="O47" i="22"/>
  <c r="C14" i="22"/>
  <c r="O60" i="22"/>
  <c r="O74" i="22"/>
  <c r="C81" i="22"/>
  <c r="O70" i="22"/>
  <c r="K106" i="22"/>
  <c r="O113" i="22"/>
  <c r="O92" i="22"/>
  <c r="O96" i="22"/>
  <c r="F129" i="22"/>
  <c r="B115" i="22"/>
  <c r="O109" i="22"/>
  <c r="O101" i="22"/>
  <c r="H88" i="22"/>
  <c r="B35" i="22"/>
  <c r="B7" i="21" s="1"/>
  <c r="O19" i="22"/>
  <c r="D106" i="22"/>
  <c r="O29" i="22"/>
  <c r="E18" i="15"/>
  <c r="E23" i="15" s="1"/>
  <c r="O13" i="15"/>
  <c r="O40" i="22"/>
  <c r="O22" i="22"/>
  <c r="K81" i="22"/>
  <c r="F35" i="22"/>
  <c r="F7" i="21" s="1"/>
  <c r="D50" i="22"/>
  <c r="D55" i="22" s="1"/>
  <c r="M81" i="22"/>
  <c r="M50" i="22"/>
  <c r="M55" i="22" s="1"/>
  <c r="O41" i="22"/>
  <c r="O15" i="15"/>
  <c r="J8" i="22"/>
  <c r="F66" i="22"/>
  <c r="J120" i="22"/>
  <c r="B50" i="22"/>
  <c r="B55" i="22" s="1"/>
  <c r="O38" i="22"/>
  <c r="G14" i="22"/>
  <c r="J106" i="22"/>
  <c r="O86" i="22"/>
  <c r="B129" i="22"/>
  <c r="O125" i="22"/>
  <c r="M120" i="22"/>
  <c r="O91" i="22"/>
  <c r="B106" i="22"/>
  <c r="O45" i="22"/>
  <c r="O77" i="22"/>
  <c r="L50" i="22"/>
  <c r="L55" i="22" s="1"/>
  <c r="C66" i="22"/>
  <c r="C120" i="22"/>
  <c r="H35" i="22"/>
  <c r="H7" i="21" s="1"/>
  <c r="I50" i="22"/>
  <c r="I55" i="22" s="1"/>
  <c r="H14" i="22"/>
  <c r="K8" i="22"/>
  <c r="K16" i="22" s="1"/>
  <c r="O14" i="15"/>
  <c r="O23" i="22"/>
  <c r="O68" i="22"/>
  <c r="B71" i="22"/>
  <c r="L81" i="22"/>
  <c r="E66" i="22"/>
  <c r="J129" i="22"/>
  <c r="H106" i="22"/>
  <c r="C71" i="22"/>
  <c r="L35" i="22"/>
  <c r="L7" i="21" s="1"/>
  <c r="D16" i="22" l="1"/>
  <c r="D13" i="34"/>
  <c r="G13" i="34" s="1"/>
  <c r="M16" i="22"/>
  <c r="D14" i="29"/>
  <c r="G14" i="29" s="1"/>
  <c r="F38" i="41"/>
  <c r="E47" i="41"/>
  <c r="D26" i="33"/>
  <c r="G26" i="33" s="1"/>
  <c r="C122" i="22"/>
  <c r="O120" i="22"/>
  <c r="I16" i="22"/>
  <c r="L122" i="22"/>
  <c r="J16" i="22"/>
  <c r="K122" i="22"/>
  <c r="E16" i="22"/>
  <c r="D122" i="22"/>
  <c r="I122" i="22"/>
  <c r="D10" i="34"/>
  <c r="G10" i="34" s="1"/>
  <c r="D20" i="29"/>
  <c r="G20" i="29" s="1"/>
  <c r="O14" i="22"/>
  <c r="D11" i="29"/>
  <c r="G11" i="29" s="1"/>
  <c r="O129" i="22"/>
  <c r="G122" i="22"/>
  <c r="O106" i="22"/>
  <c r="O71" i="22"/>
  <c r="O115" i="22"/>
  <c r="B16" i="22"/>
  <c r="B122" i="22"/>
  <c r="E122" i="22"/>
  <c r="D13" i="29"/>
  <c r="G13" i="29" s="1"/>
  <c r="L16" i="22"/>
  <c r="O35" i="22"/>
  <c r="D19" i="29"/>
  <c r="G19" i="29" s="1"/>
  <c r="D23" i="29"/>
  <c r="G23" i="29" s="1"/>
  <c r="Q15" i="15"/>
  <c r="D7" i="28"/>
  <c r="D12" i="34"/>
  <c r="G12" i="34" s="1"/>
  <c r="Q16" i="15"/>
  <c r="Q9" i="15"/>
  <c r="D19" i="28"/>
  <c r="D21" i="32"/>
  <c r="G21" i="32" s="1"/>
  <c r="D14" i="33"/>
  <c r="G14" i="33" s="1"/>
  <c r="D21" i="33"/>
  <c r="G21" i="33" s="1"/>
  <c r="F16" i="22"/>
  <c r="D9" i="28"/>
  <c r="G9" i="28" s="1"/>
  <c r="D11" i="33"/>
  <c r="G11" i="33" s="1"/>
  <c r="D16" i="29"/>
  <c r="G16" i="29" s="1"/>
  <c r="D12" i="31"/>
  <c r="G12" i="31" s="1"/>
  <c r="D8" i="35"/>
  <c r="G8" i="35" s="1"/>
  <c r="D13" i="33"/>
  <c r="G13" i="33" s="1"/>
  <c r="D10" i="33"/>
  <c r="G10" i="33" s="1"/>
  <c r="Q17" i="15"/>
  <c r="D18" i="32"/>
  <c r="D14" i="28"/>
  <c r="G14" i="28" s="1"/>
  <c r="D17" i="33"/>
  <c r="G17" i="33" s="1"/>
  <c r="D17" i="29"/>
  <c r="G17" i="29" s="1"/>
  <c r="D14" i="32"/>
  <c r="G14" i="32" s="1"/>
  <c r="D7" i="33"/>
  <c r="D24" i="33"/>
  <c r="G24" i="33" s="1"/>
  <c r="O50" i="22"/>
  <c r="O55" i="22" s="1"/>
  <c r="D12" i="33"/>
  <c r="G12" i="33" s="1"/>
  <c r="Q6" i="15"/>
  <c r="P6" i="21"/>
  <c r="O88" i="22"/>
  <c r="C16" i="22"/>
  <c r="D16" i="31"/>
  <c r="G16" i="31" s="1"/>
  <c r="D21" i="34"/>
  <c r="G21" i="34" s="1"/>
  <c r="D19" i="33"/>
  <c r="G19" i="33" s="1"/>
  <c r="D9" i="32"/>
  <c r="G9" i="32" s="1"/>
  <c r="D13" i="32"/>
  <c r="G13" i="32" s="1"/>
  <c r="Q14" i="15"/>
  <c r="D16" i="33"/>
  <c r="G16" i="33" s="1"/>
  <c r="D25" i="28"/>
  <c r="G25" i="28" s="1"/>
  <c r="Q13" i="15"/>
  <c r="O7" i="21"/>
  <c r="P7" i="21" s="1"/>
  <c r="D20" i="28"/>
  <c r="G20" i="28" s="1"/>
  <c r="M122" i="22"/>
  <c r="D20" i="34"/>
  <c r="G20" i="34" s="1"/>
  <c r="D11" i="31"/>
  <c r="G11" i="31" s="1"/>
  <c r="D10" i="31"/>
  <c r="G10" i="31" s="1"/>
  <c r="H16" i="22"/>
  <c r="D15" i="29"/>
  <c r="G15" i="29" s="1"/>
  <c r="G16" i="22"/>
  <c r="D18" i="29"/>
  <c r="G18" i="29" s="1"/>
  <c r="D7" i="31"/>
  <c r="D9" i="29"/>
  <c r="G9" i="29" s="1"/>
  <c r="D8" i="31"/>
  <c r="G8" i="31" s="1"/>
  <c r="D7" i="34"/>
  <c r="D7" i="35"/>
  <c r="D22" i="28"/>
  <c r="G22" i="28" s="1"/>
  <c r="D9" i="33"/>
  <c r="G9" i="33" s="1"/>
  <c r="Q5" i="15"/>
  <c r="D8" i="34"/>
  <c r="G8" i="34" s="1"/>
  <c r="Q10" i="15"/>
  <c r="D18" i="33"/>
  <c r="G18" i="33" s="1"/>
  <c r="D32" i="28"/>
  <c r="D22" i="33"/>
  <c r="G22" i="33" s="1"/>
  <c r="O81" i="22"/>
  <c r="Q11" i="15"/>
  <c r="D17" i="31"/>
  <c r="G17" i="31" s="1"/>
  <c r="D7" i="29"/>
  <c r="D22" i="29"/>
  <c r="G22" i="29" s="1"/>
  <c r="D24" i="28"/>
  <c r="G24" i="28" s="1"/>
  <c r="D13" i="31"/>
  <c r="G13" i="31" s="1"/>
  <c r="D20" i="32"/>
  <c r="G20" i="32" s="1"/>
  <c r="D12" i="28"/>
  <c r="G12" i="28" s="1"/>
  <c r="D15" i="33"/>
  <c r="G15" i="33" s="1"/>
  <c r="D25" i="33"/>
  <c r="G25" i="33" s="1"/>
  <c r="D9" i="34"/>
  <c r="G9" i="34" s="1"/>
  <c r="D21" i="28"/>
  <c r="G21" i="28" s="1"/>
  <c r="D8" i="33"/>
  <c r="G8" i="33" s="1"/>
  <c r="D20" i="33"/>
  <c r="G20" i="33" s="1"/>
  <c r="Q4" i="15"/>
  <c r="O18" i="15"/>
  <c r="R10" i="15" s="1"/>
  <c r="Q12" i="15"/>
  <c r="D23" i="32"/>
  <c r="G23" i="32" s="1"/>
  <c r="D9" i="35"/>
  <c r="G9" i="35" s="1"/>
  <c r="Q7" i="15"/>
  <c r="D10" i="35"/>
  <c r="G10" i="35" s="1"/>
  <c r="J122" i="22"/>
  <c r="D22" i="32"/>
  <c r="G22" i="32" s="1"/>
  <c r="D13" i="28"/>
  <c r="G13" i="28" s="1"/>
  <c r="D10" i="32"/>
  <c r="G10" i="32" s="1"/>
  <c r="D8" i="28"/>
  <c r="G8" i="28" s="1"/>
  <c r="D11" i="34"/>
  <c r="G11" i="34" s="1"/>
  <c r="D11" i="32"/>
  <c r="G11" i="32" s="1"/>
  <c r="O8" i="22"/>
  <c r="D19" i="34"/>
  <c r="D14" i="31"/>
  <c r="G14" i="31" s="1"/>
  <c r="D8" i="29"/>
  <c r="G8" i="29" s="1"/>
  <c r="O66" i="22"/>
  <c r="D7" i="32"/>
  <c r="D23" i="28"/>
  <c r="G23" i="28" s="1"/>
  <c r="D12" i="32"/>
  <c r="G12" i="32" s="1"/>
  <c r="D22" i="34"/>
  <c r="G22" i="34" s="1"/>
  <c r="D21" i="29"/>
  <c r="G21" i="29" s="1"/>
  <c r="D9" i="31"/>
  <c r="G9" i="31" s="1"/>
  <c r="G38" i="41" l="1"/>
  <c r="F47" i="41"/>
  <c r="O122" i="22"/>
  <c r="O16" i="22"/>
  <c r="R4" i="15"/>
  <c r="R7" i="15"/>
  <c r="R12" i="15"/>
  <c r="R5" i="15"/>
  <c r="R6" i="15"/>
  <c r="R16" i="15"/>
  <c r="R15" i="15"/>
  <c r="R14" i="15"/>
  <c r="G18" i="32"/>
  <c r="G24" i="32" s="1"/>
  <c r="D24" i="32"/>
  <c r="G25" i="32" s="1"/>
  <c r="D26" i="28"/>
  <c r="G27" i="28" s="1"/>
  <c r="G19" i="28"/>
  <c r="G26" i="28" s="1"/>
  <c r="G7" i="34"/>
  <c r="G16" i="34" s="1"/>
  <c r="D16" i="34"/>
  <c r="G17" i="34" s="1"/>
  <c r="G7" i="32"/>
  <c r="G15" i="32" s="1"/>
  <c r="D15" i="32"/>
  <c r="G16" i="32" s="1"/>
  <c r="D24" i="34"/>
  <c r="G19" i="34"/>
  <c r="G24" i="34" s="1"/>
  <c r="Q18" i="15"/>
  <c r="Q23" i="15" s="1"/>
  <c r="O23" i="15"/>
  <c r="R8" i="15"/>
  <c r="G32" i="28"/>
  <c r="G35" i="28" s="1"/>
  <c r="D35" i="28"/>
  <c r="G36" i="28" s="1"/>
  <c r="G7" i="33"/>
  <c r="G27" i="33" s="1"/>
  <c r="D27" i="33"/>
  <c r="G28" i="33" s="1"/>
  <c r="R17" i="15"/>
  <c r="G7" i="31"/>
  <c r="G19" i="31" s="1"/>
  <c r="D19" i="31"/>
  <c r="G33" i="31" s="1"/>
  <c r="R13" i="15"/>
  <c r="G7" i="28"/>
  <c r="G16" i="28" s="1"/>
  <c r="D16" i="28"/>
  <c r="G7" i="29"/>
  <c r="G24" i="29" s="1"/>
  <c r="D24" i="29"/>
  <c r="G25" i="29" s="1"/>
  <c r="R11" i="15"/>
  <c r="D12" i="35"/>
  <c r="G13" i="35" s="1"/>
  <c r="G7" i="35"/>
  <c r="G12" i="35" s="1"/>
  <c r="Q6" i="21"/>
  <c r="R9" i="15"/>
  <c r="R18" i="15" l="1"/>
  <c r="H38" i="41"/>
  <c r="G47" i="41"/>
  <c r="G29" i="28"/>
  <c r="G27" i="34"/>
  <c r="D29" i="28"/>
  <c r="G30" i="28" s="1"/>
  <c r="G17" i="28"/>
  <c r="D27" i="34"/>
  <c r="G28" i="34" s="1"/>
  <c r="G25" i="34"/>
  <c r="I38" i="41" l="1"/>
  <c r="H47" i="41"/>
  <c r="I47" i="41" l="1"/>
  <c r="J38" i="41"/>
  <c r="K38" i="41" l="1"/>
  <c r="J47" i="41"/>
  <c r="L38" i="41" l="1"/>
  <c r="K47" i="41"/>
  <c r="M38" i="41" l="1"/>
  <c r="L47" i="41"/>
  <c r="M47" i="41" l="1"/>
  <c r="O38" i="41"/>
</calcChain>
</file>

<file path=xl/sharedStrings.xml><?xml version="1.0" encoding="utf-8"?>
<sst xmlns="http://schemas.openxmlformats.org/spreadsheetml/2006/main" count="3767" uniqueCount="1269">
  <si>
    <t>ENTRADAS</t>
  </si>
  <si>
    <t>1.1.01</t>
  </si>
  <si>
    <t>DISPONIBILIDADES</t>
  </si>
  <si>
    <t>1.1.01.01.0001</t>
  </si>
  <si>
    <t>1.1.01.03</t>
  </si>
  <si>
    <t>APLICACOES LIQUIDEZ IMEDIATA</t>
  </si>
  <si>
    <t>1.1.01.03.0001</t>
  </si>
  <si>
    <t>1.1.01.03.0002</t>
  </si>
  <si>
    <t>1.1.03.03.0002</t>
  </si>
  <si>
    <t>1.1.03.03.0003</t>
  </si>
  <si>
    <t>IMOBILIZADO</t>
  </si>
  <si>
    <t>OBRIGACOES TRIBUTARIAS E SOCIAIS</t>
  </si>
  <si>
    <t>2.1.03.01</t>
  </si>
  <si>
    <t>2.1.03.01.0001</t>
  </si>
  <si>
    <t>2.1.03.01.0002</t>
  </si>
  <si>
    <t>2.1.03.01.0003</t>
  </si>
  <si>
    <t>2.1.03.01.0004</t>
  </si>
  <si>
    <t>2.1.03.01.0005</t>
  </si>
  <si>
    <t>2.1.03.02.0001</t>
  </si>
  <si>
    <t>2.1.03.02.0002</t>
  </si>
  <si>
    <t>2.1.03.02.0003</t>
  </si>
  <si>
    <t>2.1.03.02.0004</t>
  </si>
  <si>
    <t>2.1.04</t>
  </si>
  <si>
    <t>OBRIGACOES TRABALHISTA</t>
  </si>
  <si>
    <t>2.1.04.01.0001</t>
  </si>
  <si>
    <t>2.1.04.01.0002</t>
  </si>
  <si>
    <t>3.1.01</t>
  </si>
  <si>
    <t>3.1.01.01.0001</t>
  </si>
  <si>
    <t>3.1.01.01.0002</t>
  </si>
  <si>
    <t>3.1.01.01.0003</t>
  </si>
  <si>
    <t>RECEITAS FINANCEIRAS</t>
  </si>
  <si>
    <t>3.1.02.01.0001</t>
  </si>
  <si>
    <t>3.1.02.01.0002</t>
  </si>
  <si>
    <t>3.1.02.01.0003</t>
  </si>
  <si>
    <t>DESPESAS ADMINISTRATIVAS</t>
  </si>
  <si>
    <t>3.2.01.01</t>
  </si>
  <si>
    <t>DESPESAS MINISTERIAIS</t>
  </si>
  <si>
    <t>3.2.01.01.0001</t>
  </si>
  <si>
    <t>3.2.01.01.0002</t>
  </si>
  <si>
    <t>3.2.01.01.0003</t>
  </si>
  <si>
    <t>3.2.01.01.0004</t>
  </si>
  <si>
    <t>3.2.01.01.0005</t>
  </si>
  <si>
    <t>3.2.01.01.0007</t>
  </si>
  <si>
    <t>3.2.01.01.0008</t>
  </si>
  <si>
    <t>3.2.01.01.0009</t>
  </si>
  <si>
    <t>3.2.01.01.0010</t>
  </si>
  <si>
    <t>3.2.01.01.0011</t>
  </si>
  <si>
    <t>3.2.01.01.0012</t>
  </si>
  <si>
    <t>3.2.01.01.0013</t>
  </si>
  <si>
    <t>3.2.01.01.0014</t>
  </si>
  <si>
    <t>3.2.01.02.0006</t>
  </si>
  <si>
    <t>3.2.01.02.0007</t>
  </si>
  <si>
    <t>3.2.01.02.0008</t>
  </si>
  <si>
    <t>3.2.01.03</t>
  </si>
  <si>
    <t>DESPESAS GERAIS</t>
  </si>
  <si>
    <t>3.2.01.03.0001</t>
  </si>
  <si>
    <t>3.2.01.03.0002</t>
  </si>
  <si>
    <t>3.2.01.03.0003</t>
  </si>
  <si>
    <t>3.2.01.03.0004</t>
  </si>
  <si>
    <t>3.2.02.02</t>
  </si>
  <si>
    <t>3.2.02.02.0001</t>
  </si>
  <si>
    <t>3.2.02.02.0002</t>
  </si>
  <si>
    <t>3.2.02.02.0003</t>
  </si>
  <si>
    <t>3.2.02.02.0004</t>
  </si>
  <si>
    <t>3.3.01.01.0001</t>
  </si>
  <si>
    <t>Terrenos</t>
  </si>
  <si>
    <t>Edificacoes</t>
  </si>
  <si>
    <t>Veiculos</t>
  </si>
  <si>
    <t>Equipamentos de Informatica</t>
  </si>
  <si>
    <t>Benfeitorias em Imoveis de Terceiros</t>
  </si>
  <si>
    <t>IRRF a Recolher</t>
  </si>
  <si>
    <t>PIS a Recolher</t>
  </si>
  <si>
    <t>Contribuicoes Federais Retidas</t>
  </si>
  <si>
    <t>INSS a Recolher</t>
  </si>
  <si>
    <t>FGTS a Recolher</t>
  </si>
  <si>
    <t>Contribuicoes Sindicais a Recolher</t>
  </si>
  <si>
    <t>Seguro de Vida e Saude a Pagar</t>
  </si>
  <si>
    <t>Ordenados e Salarios</t>
  </si>
  <si>
    <t>Rescisao Contratual</t>
  </si>
  <si>
    <t>Ferias</t>
  </si>
  <si>
    <t>13º Salario</t>
  </si>
  <si>
    <t>Vale-Transporte</t>
  </si>
  <si>
    <t>Alimentacao de Empregados</t>
  </si>
  <si>
    <t>Assistencia Saude e Seguro de Vida</t>
  </si>
  <si>
    <t>Reclamacoes Trabalhistas</t>
  </si>
  <si>
    <t>Outros Beneficios</t>
  </si>
  <si>
    <t>RECEITAS OPERACIONAIS</t>
  </si>
  <si>
    <t>RECEITAS DE OFERTAS</t>
  </si>
  <si>
    <t>Ofertas Regulares</t>
  </si>
  <si>
    <t>Ofertas p/ Africa/Angola e EUA</t>
  </si>
  <si>
    <t>Ofertas p/ Aquisicao de Vans</t>
  </si>
  <si>
    <t>3.1.01.01.0004</t>
  </si>
  <si>
    <t>Ofertas Especiais do MRM</t>
  </si>
  <si>
    <t>Ofertas de Conferencias Microrregionais</t>
  </si>
  <si>
    <t>Ofertas p/ Apostolo</t>
  </si>
  <si>
    <t>Ofertas p/ CEAPE</t>
  </si>
  <si>
    <t>Ofertas Diversas</t>
  </si>
  <si>
    <t>3.1.02</t>
  </si>
  <si>
    <t>Alienacao de Bens Ativo Permanente</t>
  </si>
  <si>
    <t>Reembolso de Refeicoes</t>
  </si>
  <si>
    <t>3.1.02.01.0004</t>
  </si>
  <si>
    <t>Reembolso de Encontro de Obreiros</t>
  </si>
  <si>
    <t>Rendimentos de Aplicacoes Financeiras</t>
  </si>
  <si>
    <t>Descontos Obtidos</t>
  </si>
  <si>
    <t>Juros Recebidos</t>
  </si>
  <si>
    <t>COLPORTAGEM</t>
  </si>
  <si>
    <t>Premiacao Mensal - Colportores</t>
  </si>
  <si>
    <t>Aluguel de Colportores</t>
  </si>
  <si>
    <t>Ofertas Adicionais - Colportores</t>
  </si>
  <si>
    <t>Oferta em Livros - Colportores</t>
  </si>
  <si>
    <t>Reuniao Aperfeicoamento - Alimentacao</t>
  </si>
  <si>
    <t>Reuniao Aperfeicoamento - Cozinha e Limpeza</t>
  </si>
  <si>
    <t>Reuniao Aperfeicoamento - Copias e Xerox</t>
  </si>
  <si>
    <t>Manutencao de Veiculos - Colportores</t>
  </si>
  <si>
    <t>Aperfeicoamento de Colportores - Regiao 06</t>
  </si>
  <si>
    <t>Aperfeicoamento de Colportores - Outras Regioes</t>
  </si>
  <si>
    <t>Mudanca de Colportores - Migracao</t>
  </si>
  <si>
    <t>Assistencia Medica e Odontologica - Colportores</t>
  </si>
  <si>
    <t>Participacao em Conferencias - Colportores</t>
  </si>
  <si>
    <t>3.2.01.02</t>
  </si>
  <si>
    <t>3.2.01.02.0001</t>
  </si>
  <si>
    <t>Aluguel - CEAPE</t>
  </si>
  <si>
    <t>3.2.01.02.0002</t>
  </si>
  <si>
    <t>Agua, Luz, Telefone, IPTU - CEAPE</t>
  </si>
  <si>
    <t>3.2.01.02.0003</t>
  </si>
  <si>
    <t>Ofertas p/ Coordenadores - CEAPE</t>
  </si>
  <si>
    <t>3.2.01.02.0004</t>
  </si>
  <si>
    <t>Ofertas p/ Apoiadores - CEAPE</t>
  </si>
  <si>
    <t>3.2.01.02.0005</t>
  </si>
  <si>
    <t>Participacoes em Conferencias/Reunioes Especiais</t>
  </si>
  <si>
    <t>Transporte - CEAPE</t>
  </si>
  <si>
    <t>Manutencao de Vans - CEAPE</t>
  </si>
  <si>
    <t>Cozinha e Alimentacao - CEAPE</t>
  </si>
  <si>
    <t>Cozinheira - CEAPE</t>
  </si>
  <si>
    <t>ANGOLA / ÁFRICA</t>
  </si>
  <si>
    <t>Passagens Aereas - Angola/Africa</t>
  </si>
  <si>
    <t>Despesas c/ Visto e Passaporte - Angola/Africa</t>
  </si>
  <si>
    <t>Despesas de Viagens - Angola/Africa</t>
  </si>
  <si>
    <t>Aluguel - Angola/Africa</t>
  </si>
  <si>
    <t>Oferta p/ Obreiros - Angola/Africa</t>
  </si>
  <si>
    <t>Oferta p/ Colportores - Angola/Africa</t>
  </si>
  <si>
    <t>Oferta de Livros - Angola/Africa</t>
  </si>
  <si>
    <t>Auxilio Irmaos Necessitados - Angola/Africa</t>
  </si>
  <si>
    <t>ESTADOS UNIDOS</t>
  </si>
  <si>
    <t>Passagens Aereas - EUA</t>
  </si>
  <si>
    <t>Despesas c/ Visto e Passaporte - EUA</t>
  </si>
  <si>
    <t>Despesas de Viagens - EUA</t>
  </si>
  <si>
    <t>Aluguel - EUA</t>
  </si>
  <si>
    <t>Oferta p/ Obreiros - EUA</t>
  </si>
  <si>
    <t>Oferta p/ Colportores - EUA</t>
  </si>
  <si>
    <t>Oferta de Livros - EUA</t>
  </si>
  <si>
    <t>Auxilio Irmaos Necessitados - EUA</t>
  </si>
  <si>
    <t>OBREIROS E APOIADORES</t>
  </si>
  <si>
    <t>Auxilio p/ Obreiros e Apoiadores</t>
  </si>
  <si>
    <t>Oferta Especial - Obreiros e Apoiadores</t>
  </si>
  <si>
    <t>Participacao em Conferencias - Obreiros e Apoiadores</t>
  </si>
  <si>
    <t>Despesas de Viagens - Obreiros e Apoiadores</t>
  </si>
  <si>
    <t>Reuniao Aperfeicoamento - Obreiros e Apoiadores</t>
  </si>
  <si>
    <t>Manutencao de Veiculos - Obreiros e Apoiadores</t>
  </si>
  <si>
    <t>Gastos c/ Eventos - Obreiros e Apoiadores</t>
  </si>
  <si>
    <t>Passagens Aereas - Irmao Dong e Cooperadores</t>
  </si>
  <si>
    <t>Oferta p/ Igrejas - Obra Nacional</t>
  </si>
  <si>
    <t>Ofertas Especiais - Obra Nacional</t>
  </si>
  <si>
    <t>Oferta p/ Igrejas - Obra Regional</t>
  </si>
  <si>
    <t>Oferta p/ Irmaos Necessitados - Obra Regional</t>
  </si>
  <si>
    <t>Gastos c/ Conferencias Micro-Regionais</t>
  </si>
  <si>
    <t>Agua e Energia Eletrica</t>
  </si>
  <si>
    <t>Telefone Fixo e Celular</t>
  </si>
  <si>
    <t>Internet</t>
  </si>
  <si>
    <t>Gas de Cozinha</t>
  </si>
  <si>
    <t>Higiene e Limpeza</t>
  </si>
  <si>
    <t>Alimentacao e Refeitorio</t>
  </si>
  <si>
    <t>Material de Escritorio</t>
  </si>
  <si>
    <t>Copias, Registros e Autenticacoes</t>
  </si>
  <si>
    <t>Correios e Malotes</t>
  </si>
  <si>
    <t>Combustivel</t>
  </si>
  <si>
    <t>Conducao e Transporte</t>
  </si>
  <si>
    <t>Conserto de Equipamentos</t>
  </si>
  <si>
    <t>Manutencao e Reparos de Instalacoes</t>
  </si>
  <si>
    <t>Servicos Graficos e Encardenacoes</t>
  </si>
  <si>
    <t>Servicos Contabeis</t>
  </si>
  <si>
    <t>Manutencao de Veiculos</t>
  </si>
  <si>
    <t>Seguros e IPVA de Veiculos</t>
  </si>
  <si>
    <t>Multas de Transito</t>
  </si>
  <si>
    <t>Pequenas Imobilizacoes</t>
  </si>
  <si>
    <t>3.2.03.01</t>
  </si>
  <si>
    <t>3.2.03.01.0001</t>
  </si>
  <si>
    <t>Despesas Bancarias - Tarifa de Cobranca</t>
  </si>
  <si>
    <t>3.2.03.01.0002</t>
  </si>
  <si>
    <t>Despesas Bancarias - Manutencao c/c</t>
  </si>
  <si>
    <t>3.2.03.01.0003</t>
  </si>
  <si>
    <t>Despesas Financeiras - Juros e Multas</t>
  </si>
  <si>
    <t>3.2.03.01.0004</t>
  </si>
  <si>
    <t>3.3.01.01</t>
  </si>
  <si>
    <t>3.2.01.01.0015</t>
  </si>
  <si>
    <t>Despesas com ida e vinda p/ Reunião de Aperfeiçoamento</t>
  </si>
  <si>
    <t>3.2.01.01.0016</t>
  </si>
  <si>
    <t>1.1.01.01.0005</t>
  </si>
  <si>
    <t>Despesas com participação em Conferências</t>
  </si>
  <si>
    <t>1.1.01.03.0003</t>
  </si>
  <si>
    <t>1.1.01.01.0006</t>
  </si>
  <si>
    <t>1.1.01.03.0004</t>
  </si>
  <si>
    <t>CD's de mensagem</t>
  </si>
  <si>
    <t>Despesas de Instalacao, Reformas e Manutencao - CEAPE</t>
  </si>
  <si>
    <t>Oferta para Bookafé de Poolei/Savannah</t>
  </si>
  <si>
    <t>Despesas com conferências / reuniões especiais</t>
  </si>
  <si>
    <t>Mensalidade CEAPE</t>
  </si>
  <si>
    <t>Tratamento Médico do Reinaldo</t>
  </si>
  <si>
    <t>Mensalidade CEAPE de Miami</t>
  </si>
  <si>
    <t>3.2.01.02.0011</t>
  </si>
  <si>
    <t>3.2.01.02.0012</t>
  </si>
  <si>
    <t>Despesas com material de escritorio e grafico - CEAPE</t>
  </si>
  <si>
    <t>Transporte para apoiadores do CEAPE</t>
  </si>
  <si>
    <t>Despesas médicas e odontológicas com Ceapistas</t>
  </si>
  <si>
    <t>Viagens na Colportagem</t>
  </si>
  <si>
    <t>Oferta para necessidades pessoais de Ceapistas</t>
  </si>
  <si>
    <t>Investimentos</t>
  </si>
  <si>
    <t>RELATÓRIO FINANCEIRO - 2016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</si>
  <si>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</si>
  <si>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</si>
  <si>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</si>
  <si>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</si>
  <si>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</si>
  <si>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</si>
  <si>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</si>
  <si>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</si>
  <si>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</si>
  <si>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</si>
  <si>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</si>
  <si>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</si>
  <si>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 2016</t>
  </si>
  <si>
    <t>Média Mensal</t>
  </si>
  <si>
    <t>%</t>
  </si>
  <si>
    <t>Outras Receitas</t>
  </si>
  <si>
    <t>Total de Entradas</t>
  </si>
  <si>
    <t>Movimentação Financeira</t>
  </si>
  <si>
    <t>Saldo das Disponibilidades</t>
  </si>
  <si>
    <t>SALDO DAS DISPONIBILIDADES</t>
  </si>
  <si>
    <t>Caixa</t>
  </si>
  <si>
    <t>Bancos</t>
  </si>
  <si>
    <t>Aplicação Financeira</t>
  </si>
  <si>
    <t>Receitas de Ofertas</t>
  </si>
  <si>
    <t>Colportagem</t>
  </si>
  <si>
    <t>CEAPE</t>
  </si>
  <si>
    <t>Bookafé</t>
  </si>
  <si>
    <t>Angola/África</t>
  </si>
  <si>
    <t>Estados Unidos</t>
  </si>
  <si>
    <t>Obreiros e Apoiadores</t>
  </si>
  <si>
    <t>Gastos Específicos</t>
  </si>
  <si>
    <t>Despesas Financeiras e Tributárias</t>
  </si>
  <si>
    <t>REPASSES E INTERMEDIAÇÕES</t>
  </si>
  <si>
    <t>Bookafé Corporate</t>
  </si>
  <si>
    <t>América do Norte</t>
  </si>
  <si>
    <t>Van - CEAPE Foz Iguaçu</t>
  </si>
  <si>
    <t>Total de Repasses e Intermediações</t>
  </si>
  <si>
    <t>Obrigacoes Trabalhistas e Sociais</t>
  </si>
  <si>
    <t>SAIDAS - DESPESAS MINISTERIAIS</t>
  </si>
  <si>
    <t>SAIDAS - DESPESAS ADMINISTRATIVAS</t>
  </si>
  <si>
    <t>Despesas Gerais</t>
  </si>
  <si>
    <t>Total de Despesas Administrativas</t>
  </si>
  <si>
    <t>Total de Despesas Ministeriais</t>
  </si>
  <si>
    <t>Total de Dizimos e Ofertas</t>
  </si>
  <si>
    <t>OUTRAS RECEITAS</t>
  </si>
  <si>
    <t>Total de Outras Receitas</t>
  </si>
  <si>
    <t>TOTAL DAS ENTRADAS</t>
  </si>
  <si>
    <t>Total de Colportagem</t>
  </si>
  <si>
    <t>Total de Angola / África</t>
  </si>
  <si>
    <t>Total de Estados Unidos</t>
  </si>
  <si>
    <t>GASTOS ESPECÍFICOS</t>
  </si>
  <si>
    <t>Total de Obreiros e Apoiadores</t>
  </si>
  <si>
    <t>Total de Gastos Específicos</t>
  </si>
  <si>
    <t>OBRIGAÇÕES TRABALHISTAS</t>
  </si>
  <si>
    <t>OBRIGAÇÕES SOCIAIS</t>
  </si>
  <si>
    <t>TOTAL DE OBRIGAÇÕES TRABALHISTAS E SOCIAIS</t>
  </si>
  <si>
    <t>Total de Obrigações Sociais</t>
  </si>
  <si>
    <t>Total de Obrigações Trabalhistas</t>
  </si>
  <si>
    <t>Inscricoes de Conferencias - Regiao 06</t>
  </si>
  <si>
    <t>Total de Gastos c/ CEAPE</t>
  </si>
  <si>
    <t>REEMBOLSO (ENTRADAS)</t>
  </si>
  <si>
    <t>CEAPE (SAÍDAS)</t>
  </si>
  <si>
    <t>Resultado Liquido - Gastos c/ CEAPE</t>
  </si>
  <si>
    <t>Total de Despesas Gerais</t>
  </si>
  <si>
    <t>3.2.03.01.0005</t>
  </si>
  <si>
    <t>Despesas Tributarias - Outras</t>
  </si>
  <si>
    <t>Despesas com produção de CD's de mensagens e hinos</t>
  </si>
  <si>
    <t>Oferta para Necessidades Familiares</t>
  </si>
  <si>
    <t>3.2.01.01.0017</t>
  </si>
  <si>
    <t>Despesas com Seminário</t>
  </si>
  <si>
    <t>Empréstimos Contraídos</t>
  </si>
  <si>
    <t>GASTOS SUSTENTÁVEIS</t>
  </si>
  <si>
    <t>Total de Gastos Sustentáveis</t>
  </si>
  <si>
    <t>DESPESAS FINANCEIRAS E TRIBUTÁRIAS</t>
  </si>
  <si>
    <t>Total de Despesas Financ e Tributarias</t>
  </si>
  <si>
    <t>Gráfico - Fluxo Financeiro 2016</t>
  </si>
  <si>
    <t>Jan a Dez</t>
  </si>
  <si>
    <t/>
  </si>
  <si>
    <t>TOTAL DE COLPORTAGEM</t>
  </si>
  <si>
    <t>TOTAL DE GASTOS C/ CEAPE</t>
  </si>
  <si>
    <t>TOTAL DE ANGOLA / ÁFRICA</t>
  </si>
  <si>
    <t>TOTAL DE ESTADOS UNIDOS</t>
  </si>
  <si>
    <t>TOTAL DE OBREIROS E APOIADORES</t>
  </si>
  <si>
    <t>TOTAL DE GASTOS ESPECÍFICOS</t>
  </si>
  <si>
    <t>TOTAL DE DESPESAS GERAIS</t>
  </si>
  <si>
    <t>TOTAL DE DESPESAS FINANC E TRIBUTARIAS</t>
  </si>
  <si>
    <t>ASSOCIAÇÃO DAS IGREJAS DA OBRA REGIONAL - REGIÃO 6</t>
  </si>
  <si>
    <t>Fluxo Financeiro - 2017</t>
  </si>
  <si>
    <t>DESPESAS MINISTERIAIS - 2017</t>
  </si>
  <si>
    <t>Ano 2017</t>
  </si>
  <si>
    <t>Reembolsos Diversos</t>
  </si>
  <si>
    <t>Gastos Diversos - Angola/Africa</t>
  </si>
  <si>
    <t>Despesas com Transportes p/ Reuniao de Aperfeicoamento</t>
  </si>
  <si>
    <t>Despesas com Participacao em Conferencias - Angola/Africa</t>
  </si>
  <si>
    <t>Gastos c/ Conferencias Regionais e de Jovens</t>
  </si>
  <si>
    <t>Servico de Conferencias</t>
  </si>
  <si>
    <t>SERVICO DE CONFERENCIAS</t>
  </si>
  <si>
    <t>Gastos de Viagem p/ Israel</t>
  </si>
  <si>
    <t>Distribuidora e Livraria Manancial Ltda</t>
  </si>
  <si>
    <t>Despesas Diversas</t>
  </si>
  <si>
    <t>RELATÓRIO FINANCEIRO</t>
  </si>
  <si>
    <t>Variação</t>
  </si>
  <si>
    <t>Entradas</t>
  </si>
  <si>
    <t>Exercício 2016</t>
  </si>
  <si>
    <t>Total das Receitas de Ofertas</t>
  </si>
  <si>
    <t>Total de Servicos de Conferencias</t>
  </si>
  <si>
    <t>DESPESAS DE COLPORTAGEM</t>
  </si>
  <si>
    <t>Conferencia Regional</t>
  </si>
  <si>
    <t>Movimentação Líquida</t>
  </si>
  <si>
    <t>Exercício 2017</t>
  </si>
  <si>
    <t>Total de Angola/África</t>
  </si>
  <si>
    <t>ANGOLA/ÁFRICA</t>
  </si>
  <si>
    <t>OBREIROS E APOIADORES / GASTOS ESPECÍFICOS</t>
  </si>
  <si>
    <t>TOTAL DE OBRIG TRABALHISTAS E SOCIAIS</t>
  </si>
  <si>
    <t>OBRIG. TRABALHISTAS E SOCIAIS</t>
  </si>
  <si>
    <t>Total de Desp Financeiras e Tributárias</t>
  </si>
  <si>
    <t>Total de Saidas</t>
  </si>
  <si>
    <t>Fluxo Financeiro - Exercícios 2017</t>
  </si>
  <si>
    <t>Fluxo Financeiro - Exercícios 2016</t>
  </si>
  <si>
    <t>2.1.02.01</t>
  </si>
  <si>
    <t>2.1.02.01.0003</t>
  </si>
  <si>
    <t>2.1.02.01.0004</t>
  </si>
  <si>
    <t>Despesas Medicas - Angola/Africa</t>
  </si>
  <si>
    <t>Aluguel e Construcao - Angola/Africa</t>
  </si>
  <si>
    <t>Passagens Aereas de Cooperadores - Obra Nacional</t>
  </si>
  <si>
    <t>Ofertas p/ Africa/Angola e Fundo da Obra</t>
  </si>
  <si>
    <t>2016/17</t>
  </si>
  <si>
    <t>2017/18</t>
  </si>
  <si>
    <t>Ano 2018</t>
  </si>
  <si>
    <t>Comparativo das Entradas - Exercícios 2016, 2017 e 2018</t>
  </si>
  <si>
    <t>Comparativo de Despesas de Colportagem - Exercícios 2016, 2017 e 2018</t>
  </si>
  <si>
    <t>Comparativo Obreiros/Apoiadores e Gastos Específicos - Exercícios 2016, 2017 e 2018</t>
  </si>
  <si>
    <t>Comparativo Angola/África - Exercícios 2016, 2017 e 2018</t>
  </si>
  <si>
    <t>Despesas Gerais - Exercícios 2016, 2017 e 2018</t>
  </si>
  <si>
    <t>Comparativo Obrigações Trabalhistas - Exercícios 2016, 2017 e 2018</t>
  </si>
  <si>
    <t>Despesas Financeiras e Tributárias - Exercícios 2016, 2017 e 2018</t>
  </si>
  <si>
    <t>Exercício 2018</t>
  </si>
  <si>
    <t>Relatórios Financeiros - Comparativo 2016, 2017 e 2018</t>
  </si>
  <si>
    <t>1.1.01.03.0005</t>
  </si>
  <si>
    <t>Aplicacao Financeira - Sicoob</t>
  </si>
  <si>
    <t>3.2.01.01.0018</t>
  </si>
  <si>
    <t>Contas Patrimoniais</t>
  </si>
  <si>
    <t>Disponibilidades</t>
  </si>
  <si>
    <t>Conta</t>
  </si>
  <si>
    <t>Adiantamentos e Emprestimos</t>
  </si>
  <si>
    <t>Tributarias</t>
  </si>
  <si>
    <t>Trabalhistas</t>
  </si>
  <si>
    <t>Receitas Financeiras</t>
  </si>
  <si>
    <t>Despesas Ministeriais</t>
  </si>
  <si>
    <t>Despesas Administrativas</t>
  </si>
  <si>
    <t>Encargos Sociais</t>
  </si>
  <si>
    <t>Despesas Financeiras</t>
  </si>
  <si>
    <t>1.1</t>
  </si>
  <si>
    <t>2.1</t>
  </si>
  <si>
    <t>1.2</t>
  </si>
  <si>
    <t>2.2</t>
  </si>
  <si>
    <t>3.1</t>
  </si>
  <si>
    <t>3.2</t>
  </si>
  <si>
    <t>3.3</t>
  </si>
  <si>
    <t>Codigo</t>
  </si>
  <si>
    <t>Cod Grupo 1</t>
  </si>
  <si>
    <t>Salarios a Pagar</t>
  </si>
  <si>
    <t>2.1.02.01.0005</t>
  </si>
  <si>
    <t>INSS Retido a Recolher</t>
  </si>
  <si>
    <t>Cod.Reduzido</t>
  </si>
  <si>
    <t>FORNECEDORES</t>
  </si>
  <si>
    <t>CENTRO DE CUSTO</t>
  </si>
  <si>
    <t>Código</t>
  </si>
  <si>
    <t>T</t>
  </si>
  <si>
    <t>Classificação</t>
  </si>
  <si>
    <t>Nome</t>
  </si>
  <si>
    <t>Grau</t>
  </si>
  <si>
    <t>S</t>
  </si>
  <si>
    <t>1</t>
  </si>
  <si>
    <t>ATIVO</t>
  </si>
  <si>
    <t>ATIVO CIRCULANTE</t>
  </si>
  <si>
    <t>1.1.01.01</t>
  </si>
  <si>
    <t>NUMERARIOS</t>
  </si>
  <si>
    <t>Caixa - Igreja</t>
  </si>
  <si>
    <t>1.1.01.01.0002</t>
  </si>
  <si>
    <t>Caixa - Cozinha</t>
  </si>
  <si>
    <t>1.1.01.01.0003</t>
  </si>
  <si>
    <t>Caixa - Bookafe</t>
  </si>
  <si>
    <t>1.1.01.01.0004</t>
  </si>
  <si>
    <t>Caixa - Literatura</t>
  </si>
  <si>
    <t>Caixa - Oferta Compromisso</t>
  </si>
  <si>
    <t>Caixa - Obra Regional</t>
  </si>
  <si>
    <t>1.1.01.02</t>
  </si>
  <si>
    <t>BANCOS C/ MOVIMENTO</t>
  </si>
  <si>
    <t>1.1.01.02.0001</t>
  </si>
  <si>
    <t>Bradesco c/c 420-0 - Normal</t>
  </si>
  <si>
    <t>1.1.01.02.0002</t>
  </si>
  <si>
    <t>Bradesco c/c 430-8 - Conferencias</t>
  </si>
  <si>
    <t>1.1.01.02.0003</t>
  </si>
  <si>
    <t>Sicoob c/c 3314310-2</t>
  </si>
  <si>
    <t>1.1.01.02.0007</t>
  </si>
  <si>
    <t>Bradesco c/c 440-5 - Novo Local</t>
  </si>
  <si>
    <t>1.1.01.02.0010</t>
  </si>
  <si>
    <t>Bradesco c/c 450-2 - Obra Regional</t>
  </si>
  <si>
    <t>Renda Fixa Saturno - 420-0</t>
  </si>
  <si>
    <t>Renda Fixa CCDI - 430-8</t>
  </si>
  <si>
    <t>Bradesco FIC RF Saturno - 440-5</t>
  </si>
  <si>
    <t>Renda Fixa Saturno conta 450-2</t>
  </si>
  <si>
    <t>1.1.02</t>
  </si>
  <si>
    <t>VALORES A RECEBER</t>
  </si>
  <si>
    <t>1.1.02.01</t>
  </si>
  <si>
    <t>EMPRESTIMOS CONCEDIDOS</t>
  </si>
  <si>
    <t>1.1.02.01.0001</t>
  </si>
  <si>
    <t>Alexandre Carlos Pereira</t>
  </si>
  <si>
    <t>1.1.02.01.0002</t>
  </si>
  <si>
    <t>Edilson Geraldo de Assis</t>
  </si>
  <si>
    <t>1.1.02.01.0003</t>
  </si>
  <si>
    <t>Maria das Gracas Monferrari</t>
  </si>
  <si>
    <t>1.1.02.01.0004</t>
  </si>
  <si>
    <t>Maria Cecilia Monferrari da Costa</t>
  </si>
  <si>
    <t>1.1.02.01.0005</t>
  </si>
  <si>
    <t>Joao Quirino</t>
  </si>
  <si>
    <t>1.1.02.01.0006</t>
  </si>
  <si>
    <t>Mauricio Flaviano</t>
  </si>
  <si>
    <t>1.1.02.01.0043</t>
  </si>
  <si>
    <t>Daniel Mateus Duarte</t>
  </si>
  <si>
    <t>1.1.02.01.0044</t>
  </si>
  <si>
    <t>Agenor Braga Junior</t>
  </si>
  <si>
    <t>1.1.02.01.0045</t>
  </si>
  <si>
    <t>Willian Ferreira Santos</t>
  </si>
  <si>
    <t>1.1.02.99</t>
  </si>
  <si>
    <t>OUTROS VALORES A RECEBER</t>
  </si>
  <si>
    <t>1.1.02.99.0001</t>
  </si>
  <si>
    <t>Bookafe - Casa 01</t>
  </si>
  <si>
    <t>1.1.02.99.0003</t>
  </si>
  <si>
    <t>Bookafe - Casa 03</t>
  </si>
  <si>
    <t>1.1.02.99.0004</t>
  </si>
  <si>
    <t>Bookafe - Casa 04</t>
  </si>
  <si>
    <t>1.1.02.99.0011</t>
  </si>
  <si>
    <t>Bookafe - Casa 11</t>
  </si>
  <si>
    <t>1.1.03</t>
  </si>
  <si>
    <t>OUTROS CREDITOS</t>
  </si>
  <si>
    <t>1.1.03.01</t>
  </si>
  <si>
    <t>CREDITOS A REALIZAR</t>
  </si>
  <si>
    <t>1.1.03.01.0001</t>
  </si>
  <si>
    <t>Cheques Pre Datados</t>
  </si>
  <si>
    <t>1.1.03.01.0002</t>
  </si>
  <si>
    <t>Cartao de Credito</t>
  </si>
  <si>
    <t>1.1.03.01.0003</t>
  </si>
  <si>
    <t>Cartao de Credito - SIPAG</t>
  </si>
  <si>
    <t>1.1.03.02</t>
  </si>
  <si>
    <t>ADIANTAMENTOS A FORNECEDORES</t>
  </si>
  <si>
    <t>1.1.03.03</t>
  </si>
  <si>
    <t>ADIANTAMENTOS A FUNCIONARIOS</t>
  </si>
  <si>
    <t>1.1.03.03.0001</t>
  </si>
  <si>
    <t>Adiantamento de salario</t>
  </si>
  <si>
    <t>Adiantamento de ferias</t>
  </si>
  <si>
    <t>Adiantamento de 13o. salario</t>
  </si>
  <si>
    <t>ATIVO NAO CIRCULANTE</t>
  </si>
  <si>
    <t>1.2.01</t>
  </si>
  <si>
    <t>REALIZAVEL A LONGO PRAZO</t>
  </si>
  <si>
    <t>1.2.01.01</t>
  </si>
  <si>
    <t>1.2.02</t>
  </si>
  <si>
    <t>1.2.02.01</t>
  </si>
  <si>
    <t>BENS E DIREITOS</t>
  </si>
  <si>
    <t>1.2.02.01.0001</t>
  </si>
  <si>
    <t>1.2.02.01.0002</t>
  </si>
  <si>
    <t>1.2.02.01.0003</t>
  </si>
  <si>
    <t>Instalacoes</t>
  </si>
  <si>
    <t>1.2.02.01.0004</t>
  </si>
  <si>
    <t>Moveis e Utensilios</t>
  </si>
  <si>
    <t>1.2.02.01.0005</t>
  </si>
  <si>
    <t>Aparelhos e Equipamentos</t>
  </si>
  <si>
    <t>1.2.02.01.0006</t>
  </si>
  <si>
    <t>1.2.02.01.0007</t>
  </si>
  <si>
    <t>1.2.02.01.0008</t>
  </si>
  <si>
    <t>1.2.02.02</t>
  </si>
  <si>
    <t>BOOKAFE - BENFEITORIAS E INSTALACOES</t>
  </si>
  <si>
    <t>1.2.02.02.0001</t>
  </si>
  <si>
    <t>Bookafe - CASA 01</t>
  </si>
  <si>
    <t>1.2.02.02.0002</t>
  </si>
  <si>
    <t>Bookafe - CASA 02</t>
  </si>
  <si>
    <t>1.2.02.02.0003</t>
  </si>
  <si>
    <t>Bookafe - CASA 03</t>
  </si>
  <si>
    <t>1.2.02.02.0004</t>
  </si>
  <si>
    <t>Bookafe - CASA 04</t>
  </si>
  <si>
    <t>1.2.02.02.0005</t>
  </si>
  <si>
    <t>Bookafe - CASA 05</t>
  </si>
  <si>
    <t>1.2.02.02.0006</t>
  </si>
  <si>
    <t>Bookafe - CASA 06</t>
  </si>
  <si>
    <t>1.2.02.02.0007</t>
  </si>
  <si>
    <t>Bookafe - CASA 07</t>
  </si>
  <si>
    <t>1.2.02.02.0008</t>
  </si>
  <si>
    <t>Bookafe - CASA 08</t>
  </si>
  <si>
    <t>1.2.02.02.0009</t>
  </si>
  <si>
    <t>Bookafe - CASA 09</t>
  </si>
  <si>
    <t>1.2.02.02.0010</t>
  </si>
  <si>
    <t>Bookafe - CASA 10</t>
  </si>
  <si>
    <t>1.2.02.02.0011</t>
  </si>
  <si>
    <t>Bookafe - CASA 11</t>
  </si>
  <si>
    <t>1.2.02.02.0012</t>
  </si>
  <si>
    <t>Bookafe - CASA 12</t>
  </si>
  <si>
    <t>1.2.02.03</t>
  </si>
  <si>
    <t>IMOBILIZADO EM ANDAMENTO - NOVO LOCAL</t>
  </si>
  <si>
    <t>Agua, Luz e Telefone</t>
  </si>
  <si>
    <t>1.2.02.03.0012</t>
  </si>
  <si>
    <t>Obras em Andamento - 2º Pavimento</t>
  </si>
  <si>
    <t>1.2.02.03.0013</t>
  </si>
  <si>
    <t>Obras em Andamento - 1º Pavimento</t>
  </si>
  <si>
    <t>1.2.03</t>
  </si>
  <si>
    <t>INTANGIVEL</t>
  </si>
  <si>
    <t>1.2.03.01.0001</t>
  </si>
  <si>
    <t>Softwares e Aplicativos</t>
  </si>
  <si>
    <t>1.2.03.04</t>
  </si>
  <si>
    <t>2</t>
  </si>
  <si>
    <t>PASSIVO</t>
  </si>
  <si>
    <t>PASSIVO CIRCULANTE</t>
  </si>
  <si>
    <t>2.1.01</t>
  </si>
  <si>
    <t>FORNECEDORES DE BENS E SERVICOS</t>
  </si>
  <si>
    <t>Estancia Arvore da Vida</t>
  </si>
  <si>
    <t>2.1.02</t>
  </si>
  <si>
    <t>EMPRESTIMOS E FINANCIAMENTOS</t>
  </si>
  <si>
    <t>EMPRESTIMOS</t>
  </si>
  <si>
    <t>2.1.02.01.0001</t>
  </si>
  <si>
    <t>Obra Regional - Regiao 06</t>
  </si>
  <si>
    <t>2.1.02.01.0002</t>
  </si>
  <si>
    <t>Igreja em Sabara</t>
  </si>
  <si>
    <t>Hugo Pereira</t>
  </si>
  <si>
    <t>Associacao das Igrejas da Obra Regional - Regial 06</t>
  </si>
  <si>
    <t>2.1.02.02</t>
  </si>
  <si>
    <t>FINANCIAMENTOS</t>
  </si>
  <si>
    <t>2.1.03</t>
  </si>
  <si>
    <t>OBRIGACOES TRIBUTARIAS</t>
  </si>
  <si>
    <t>ISS Retido a Recolher</t>
  </si>
  <si>
    <t>2.1.03.02</t>
  </si>
  <si>
    <t>OBRIGACOES SOCIAIS</t>
  </si>
  <si>
    <t>Contribuicao Sindical a recolher</t>
  </si>
  <si>
    <t>Seguro de Vida em Grupo a Pagar</t>
  </si>
  <si>
    <t>2.1.03.02.0005</t>
  </si>
  <si>
    <t>Contribuicao Assistencial a Recolher</t>
  </si>
  <si>
    <t>2.1.04.01</t>
  </si>
  <si>
    <t>VALORES A PAGAR</t>
  </si>
  <si>
    <t>Rescisao Contratual a Pagar</t>
  </si>
  <si>
    <t>PASSIVO NAO CIRCULANTE</t>
  </si>
  <si>
    <t>2.3</t>
  </si>
  <si>
    <t>PATRIMONIO LIQUIDO</t>
  </si>
  <si>
    <t>2.3.01</t>
  </si>
  <si>
    <t>RESULTADOS ACUMULADOS</t>
  </si>
  <si>
    <t>2.3.01.01</t>
  </si>
  <si>
    <t>2.3.01.01.0001</t>
  </si>
  <si>
    <t>Superavit / Deficit Acumulado</t>
  </si>
  <si>
    <t>3</t>
  </si>
  <si>
    <t>CONTAS DE RESULTADO</t>
  </si>
  <si>
    <t>3.1.01.01</t>
  </si>
  <si>
    <t>DIZIMOS E OFERTAS</t>
  </si>
  <si>
    <t>Dizimos</t>
  </si>
  <si>
    <t>Ofertas Especiais e Voluntarias</t>
  </si>
  <si>
    <t>Ofertas p/ Irmaos Necessitados</t>
  </si>
  <si>
    <t>Oferta Compromisso</t>
  </si>
  <si>
    <t>3.1.01.02</t>
  </si>
  <si>
    <t>OFERTAS ESPECIFICAS</t>
  </si>
  <si>
    <t>3.1.01.02.0001</t>
  </si>
  <si>
    <t>Ofertas p/ Alojamento EAV</t>
  </si>
  <si>
    <t>3.1.01.02.0002</t>
  </si>
  <si>
    <t>Ofertas p/ Africa</t>
  </si>
  <si>
    <t>3.1.01.02.0003</t>
  </si>
  <si>
    <t>Ofertas p/ Obra Regional</t>
  </si>
  <si>
    <t>3.1.01.02.0004</t>
  </si>
  <si>
    <t>Oferta p/ EAV e Terreno Bhte</t>
  </si>
  <si>
    <t>3.1.01.02.0005</t>
  </si>
  <si>
    <t>Oferta p/ EAV - Igrejas</t>
  </si>
  <si>
    <t>3.1.01.02.0006</t>
  </si>
  <si>
    <t>Oferta p/ Construcao do Novo Local - BH</t>
  </si>
  <si>
    <t>3.1.01.02.0007</t>
  </si>
  <si>
    <t>Oferta Pregacao Evangelho</t>
  </si>
  <si>
    <t>3.1.01.02.0008</t>
  </si>
  <si>
    <t>Oferta p/ Projeto Vida Para Todos</t>
  </si>
  <si>
    <t>3.1.01.02.0009</t>
  </si>
  <si>
    <t>Oferta p/ Alojamento EAV</t>
  </si>
  <si>
    <t>3.1.01.02.0010</t>
  </si>
  <si>
    <t>Oferta p/ Servico de Som e Musica</t>
  </si>
  <si>
    <t>3.1.01.02.0011</t>
  </si>
  <si>
    <t>Oferta p/ Colportagem</t>
  </si>
  <si>
    <t>3.1.01.02.0012</t>
  </si>
  <si>
    <t>Oferta p/ Bookafe</t>
  </si>
  <si>
    <t>3.1.01.02.0013</t>
  </si>
  <si>
    <t>Oferta p/ CEAOM</t>
  </si>
  <si>
    <t>3.1.01.02.0014</t>
  </si>
  <si>
    <t>Oferta p/ Obra Nacional</t>
  </si>
  <si>
    <t>3.1.01.02.0015</t>
  </si>
  <si>
    <t>Oferta p/ Aquisicao de Veiculo</t>
  </si>
  <si>
    <t>3.1.01.02.0016</t>
  </si>
  <si>
    <t>Oferta p/ Missoes</t>
  </si>
  <si>
    <t>3.1.01.02.0017</t>
  </si>
  <si>
    <t>Oferta p/ Reunioes Especiais</t>
  </si>
  <si>
    <t>3.1.01.02.0018</t>
  </si>
  <si>
    <t>Oferta p/ Reforma 1º Pavimento</t>
  </si>
  <si>
    <t>3.1.01.02.0019</t>
  </si>
  <si>
    <t>Oferta p/ Microrregiao Grande BH</t>
  </si>
  <si>
    <t>3.1.01.02.0020</t>
  </si>
  <si>
    <t>Oferta p/ Programa Celeiro EAV</t>
  </si>
  <si>
    <t>3.1.01.02.0099</t>
  </si>
  <si>
    <t>Outras Oferta Especificas</t>
  </si>
  <si>
    <t>3.1.01.03</t>
  </si>
  <si>
    <t>DEDUCOES DE RECEITAS DE OFERTAS</t>
  </si>
  <si>
    <t>3.1.01.03.0001</t>
  </si>
  <si>
    <t>Cheques Devolvidos</t>
  </si>
  <si>
    <t>RECEITAS DIVERSAS</t>
  </si>
  <si>
    <t>3.1.02.01</t>
  </si>
  <si>
    <t>Rendimento Aplic Financ - Construcao</t>
  </si>
  <si>
    <t>3.1.02.02</t>
  </si>
  <si>
    <t>3.1.02.02.0001</t>
  </si>
  <si>
    <t>Vendas de Refeicoes e Lanches</t>
  </si>
  <si>
    <t>3.1.02.02.0002</t>
  </si>
  <si>
    <t>Vendas de CD's de Mensagens</t>
  </si>
  <si>
    <t>3.1.02.02.0003</t>
  </si>
  <si>
    <t>Inscricoes p/ Reunioes Especiais</t>
  </si>
  <si>
    <t>3.1.02.02.0004</t>
  </si>
  <si>
    <t>Reembolso de Literatura</t>
  </si>
  <si>
    <t>3.1.02.02.0005</t>
  </si>
  <si>
    <t>Reembolso - Serviço de Jovem</t>
  </si>
  <si>
    <t>3.1.02.02.0006</t>
  </si>
  <si>
    <t>Reembolso - Gastos CEAPE</t>
  </si>
  <si>
    <t>3.1.02.02.0007</t>
  </si>
  <si>
    <t>Vendas Bookafe - Casa 01</t>
  </si>
  <si>
    <t>3.1.02.02.0008</t>
  </si>
  <si>
    <t>Reembolsos - Gastos Bookafe</t>
  </si>
  <si>
    <t>3.1.02.02.0009</t>
  </si>
  <si>
    <t>Reembolso - Conducao e Transporte</t>
  </si>
  <si>
    <t>3.1.02.02.0010</t>
  </si>
  <si>
    <t>Reembolso - Projeto Livro na Minha Mao</t>
  </si>
  <si>
    <t>3.1.02.02.0011</t>
  </si>
  <si>
    <t>Vendas do Bazar</t>
  </si>
  <si>
    <t>3.1.02.02.0012</t>
  </si>
  <si>
    <t>Arrendamento - Cozinha e Bookafe</t>
  </si>
  <si>
    <t>3.1.02.02.0013</t>
  </si>
  <si>
    <t>Reembolso - Aulas de Musica</t>
  </si>
  <si>
    <t>3.1.02.02.0014</t>
  </si>
  <si>
    <t>Receita de Alugueis</t>
  </si>
  <si>
    <t>3.1.02.02.0098</t>
  </si>
  <si>
    <t>3.1.02.02.0099</t>
  </si>
  <si>
    <t>3.1.04</t>
  </si>
  <si>
    <t>3.1.04.01</t>
  </si>
  <si>
    <t>RECEITAS DE CONFERENCIAS</t>
  </si>
  <si>
    <t>3.1.04.01.0001</t>
  </si>
  <si>
    <t>Inscricoes</t>
  </si>
  <si>
    <t>3.1.04.01.0002</t>
  </si>
  <si>
    <t>Transporte</t>
  </si>
  <si>
    <t>3.1.04.01.0003</t>
  </si>
  <si>
    <t>Inscricoes outras igrejas</t>
  </si>
  <si>
    <t>3.1.04.01.0004</t>
  </si>
  <si>
    <t>Rendimentos Aplic Financeiras</t>
  </si>
  <si>
    <t>3.1.04.01.0005</t>
  </si>
  <si>
    <t>3.1.04.01.0099</t>
  </si>
  <si>
    <t>Outras Entradas</t>
  </si>
  <si>
    <t>3.1.04.02</t>
  </si>
  <si>
    <t>DESPESAS DE CONFERENCIAS</t>
  </si>
  <si>
    <t>3.1.04.02.0001</t>
  </si>
  <si>
    <t>Aluguel de Imoveis</t>
  </si>
  <si>
    <t>3.1.04.02.0002</t>
  </si>
  <si>
    <t>Aluguel de Bens Moveis</t>
  </si>
  <si>
    <t>3.1.04.02.0003</t>
  </si>
  <si>
    <t>Fretamento de Veiculos</t>
  </si>
  <si>
    <t>3.1.04.02.0004</t>
  </si>
  <si>
    <t>Servico de Cozinha e Alimentacao</t>
  </si>
  <si>
    <t>3.1.04.02.0005</t>
  </si>
  <si>
    <t>Servico de Criancas</t>
  </si>
  <si>
    <t>3.1.04.02.0006</t>
  </si>
  <si>
    <t>Servico de Som e Video</t>
  </si>
  <si>
    <t>3.1.04.02.0007</t>
  </si>
  <si>
    <t>Servico de Inscricao</t>
  </si>
  <si>
    <t>3.1.04.02.0008</t>
  </si>
  <si>
    <t>Ministerio da Palavra</t>
  </si>
  <si>
    <t>3.1.04.02.0009</t>
  </si>
  <si>
    <t>Oferta p/ Participacao de Irmaos</t>
  </si>
  <si>
    <t>3.1.04.02.0010</t>
  </si>
  <si>
    <t>Combustivel e Taxi</t>
  </si>
  <si>
    <t>3.1.04.02.0011</t>
  </si>
  <si>
    <t>CPMF/IOF</t>
  </si>
  <si>
    <t>3.1.04.02.0012</t>
  </si>
  <si>
    <t>Repasse Inscricoes Obra Regional</t>
  </si>
  <si>
    <t>3.1.04.02.0013</t>
  </si>
  <si>
    <t>Despesas Bancarias</t>
  </si>
  <si>
    <t>3.1.04.02.0014</t>
  </si>
  <si>
    <t>3.1.04.02.0015</t>
  </si>
  <si>
    <t>Repasse inscricoes EAV</t>
  </si>
  <si>
    <t>3.1.04.02.0016</t>
  </si>
  <si>
    <t>Servicos Graficos</t>
  </si>
  <si>
    <t>3.1.04.02.0099</t>
  </si>
  <si>
    <t>Outras Despesas de Conferencias</t>
  </si>
  <si>
    <t>DESPESAS OPERACIONAIS</t>
  </si>
  <si>
    <t>3.2.01</t>
  </si>
  <si>
    <t>Auxilio p/ Irmaos Necessitados</t>
  </si>
  <si>
    <t>Auxilio p/ Tempo Integral e Colportagem</t>
  </si>
  <si>
    <t>Servico de Jovens</t>
  </si>
  <si>
    <t>Reunioes Especiais</t>
  </si>
  <si>
    <t>Servico de Audio e Video</t>
  </si>
  <si>
    <t>Servico de Musica e Som</t>
  </si>
  <si>
    <t>Servico de  Literatura</t>
  </si>
  <si>
    <t>Servico de Seguranca</t>
  </si>
  <si>
    <t>Obra Regional</t>
  </si>
  <si>
    <t>Projeto Arca</t>
  </si>
  <si>
    <t>Projeto Entendendo a Biblia</t>
  </si>
  <si>
    <t>Auxilio p/ Africa</t>
  </si>
  <si>
    <t>Pregacao do Evangelho</t>
  </si>
  <si>
    <t>Projeto Expansao</t>
  </si>
  <si>
    <t>Servico da Mesa e Ceia</t>
  </si>
  <si>
    <t>Oferta p/ Outras Igrejas</t>
  </si>
  <si>
    <t>3.2.01.01.0019</t>
  </si>
  <si>
    <t>3.2.01.01.0020</t>
  </si>
  <si>
    <t>Jornal Arvore da Vida</t>
  </si>
  <si>
    <t>3.2.01.01.0021</t>
  </si>
  <si>
    <t>Obra Nacional</t>
  </si>
  <si>
    <t>3.2.01.01.0022</t>
  </si>
  <si>
    <t>Instituto Vida Para Todos</t>
  </si>
  <si>
    <t>3.2.01.01.0023</t>
  </si>
  <si>
    <t>3.2.01.01.0024</t>
  </si>
  <si>
    <t>Bookafe Casa 01 - Compras e Mao de Obra</t>
  </si>
  <si>
    <t>3.2.01.01.0025</t>
  </si>
  <si>
    <t>3.2.01.01.0026</t>
  </si>
  <si>
    <t>Servico de Cozinha - Utensilios</t>
  </si>
  <si>
    <t>3.2.01.01.0027</t>
  </si>
  <si>
    <t>Servico de Cozinha - Mao de Obra e Alimentacao</t>
  </si>
  <si>
    <t>3.2.01.01.0028</t>
  </si>
  <si>
    <t>Projeto Livro na Minha Mao</t>
  </si>
  <si>
    <t>3.2.01.01.0029</t>
  </si>
  <si>
    <t>Repasse de Oferta p/ Missoes</t>
  </si>
  <si>
    <t>3.2.01.01.0030</t>
  </si>
  <si>
    <t>Microrregiao Grande BH</t>
  </si>
  <si>
    <t>3.2.01.01.0031</t>
  </si>
  <si>
    <t>Programa Celeiro EAV</t>
  </si>
  <si>
    <t>3.2.01.01.0099</t>
  </si>
  <si>
    <t>Outras Despesas Ministeriais</t>
  </si>
  <si>
    <t>DESPESAS C/ PESSOAL</t>
  </si>
  <si>
    <t>Salarios e Ordenados</t>
  </si>
  <si>
    <t>13o. Salario</t>
  </si>
  <si>
    <t>Rescisoes Contratuais</t>
  </si>
  <si>
    <t>Assistencia Medica</t>
  </si>
  <si>
    <t>Transporte de Empregados</t>
  </si>
  <si>
    <t>Pis s/ Folha de Salarios</t>
  </si>
  <si>
    <t>Seguro de Vida</t>
  </si>
  <si>
    <t>3.2.01.02.0099</t>
  </si>
  <si>
    <t>Outros Proventos</t>
  </si>
  <si>
    <t>Material Recreativo</t>
  </si>
  <si>
    <t>Combustivel a Servico da Igreja</t>
  </si>
  <si>
    <t>3.2.01.03.0005</t>
  </si>
  <si>
    <t>Copa e Cozinha</t>
  </si>
  <si>
    <t>3.2.01.03.0006</t>
  </si>
  <si>
    <t>3.2.01.03.0007</t>
  </si>
  <si>
    <t>Servicos Profissionais e Contratados</t>
  </si>
  <si>
    <t>3.2.01.03.0008</t>
  </si>
  <si>
    <t>3.2.01.03.0009</t>
  </si>
  <si>
    <t>3.2.01.03.0010</t>
  </si>
  <si>
    <t>3.2.01.03.0011</t>
  </si>
  <si>
    <t>Conserto e Manutencao Equipamentos</t>
  </si>
  <si>
    <t>3.2.01.03.0012</t>
  </si>
  <si>
    <t>Material de Limpeza</t>
  </si>
  <si>
    <t>3.2.01.03.0013</t>
  </si>
  <si>
    <t>Manutecao Alojamento EAV</t>
  </si>
  <si>
    <t>3.2.01.03.0014</t>
  </si>
  <si>
    <t>Aplicativos e Internet</t>
  </si>
  <si>
    <t>3.2.01.03.0015</t>
  </si>
  <si>
    <t>3.2.01.03.0016</t>
  </si>
  <si>
    <t>3.2.01.03.0017</t>
  </si>
  <si>
    <t>Seguros de Veiculos</t>
  </si>
  <si>
    <t>3.2.01.03.0018</t>
  </si>
  <si>
    <t>3.2.01.03.0019</t>
  </si>
  <si>
    <t>Telefone Celular</t>
  </si>
  <si>
    <t>3.2.01.03.0020</t>
  </si>
  <si>
    <t>Seguranca Eletronica</t>
  </si>
  <si>
    <t>3.2.01.03.0099</t>
  </si>
  <si>
    <t>3.2.02</t>
  </si>
  <si>
    <t>CASAS DE REUNIOES</t>
  </si>
  <si>
    <t>3.2.02.01</t>
  </si>
  <si>
    <t>CASA 01</t>
  </si>
  <si>
    <t>3.2.02.01.0001</t>
  </si>
  <si>
    <t>3.2.02.01.0002</t>
  </si>
  <si>
    <t>Iptu, seguro e taxas</t>
  </si>
  <si>
    <t>3.2.02.01.0003</t>
  </si>
  <si>
    <t>Manutencao e Reparos</t>
  </si>
  <si>
    <t>3.2.02.01.0004</t>
  </si>
  <si>
    <t>CASA 02</t>
  </si>
  <si>
    <t>Aluguel, Iptu, Seguro e Taxas</t>
  </si>
  <si>
    <t>3.2.02.03</t>
  </si>
  <si>
    <t>CASA 03</t>
  </si>
  <si>
    <t>3.2.02.03.0001</t>
  </si>
  <si>
    <t>3.2.02.03.0002</t>
  </si>
  <si>
    <t>3.2.02.03.0003</t>
  </si>
  <si>
    <t>3.2.02.03.0004</t>
  </si>
  <si>
    <t>3.2.02.04</t>
  </si>
  <si>
    <t>CASA 04</t>
  </si>
  <si>
    <t>3.2.02.04.0001</t>
  </si>
  <si>
    <t>3.2.02.04.0002</t>
  </si>
  <si>
    <t>3.2.02.04.0003</t>
  </si>
  <si>
    <t>3.2.02.04.0004</t>
  </si>
  <si>
    <t>3.2.02.05</t>
  </si>
  <si>
    <t>CASA 05</t>
  </si>
  <si>
    <t>3.2.02.05.0001</t>
  </si>
  <si>
    <t>3.2.02.05.0002</t>
  </si>
  <si>
    <t>3.2.02.05.0003</t>
  </si>
  <si>
    <t>3.2.02.05.0004</t>
  </si>
  <si>
    <t>3.2.02.06</t>
  </si>
  <si>
    <t>CASA 06</t>
  </si>
  <si>
    <t>3.2.02.06.0001</t>
  </si>
  <si>
    <t>3.2.02.06.0002</t>
  </si>
  <si>
    <t>3.2.02.06.0003</t>
  </si>
  <si>
    <t>3.2.02.06.0004</t>
  </si>
  <si>
    <t>3.2.02.07</t>
  </si>
  <si>
    <t>CASA 07</t>
  </si>
  <si>
    <t>3.2.02.07.0001</t>
  </si>
  <si>
    <t>3.2.02.07.0002</t>
  </si>
  <si>
    <t>3.2.02.07.0003</t>
  </si>
  <si>
    <t>3.2.02.07.0004</t>
  </si>
  <si>
    <t>3.2.02.08</t>
  </si>
  <si>
    <t>CASA 08</t>
  </si>
  <si>
    <t>3.2.02.08.0001</t>
  </si>
  <si>
    <t>3.2.02.08.0002</t>
  </si>
  <si>
    <t>3.2.02.08.0003</t>
  </si>
  <si>
    <t>3.2.02.08.0004</t>
  </si>
  <si>
    <t>3.2.02.09</t>
  </si>
  <si>
    <t>CASA 09</t>
  </si>
  <si>
    <t>3.2.02.09.0001</t>
  </si>
  <si>
    <t>3.2.02.09.0002</t>
  </si>
  <si>
    <t>3.2.02.09.0003</t>
  </si>
  <si>
    <t>3.2.02.09.0004</t>
  </si>
  <si>
    <t>3.2.02.10</t>
  </si>
  <si>
    <t>CASA 10</t>
  </si>
  <si>
    <t>3.2.02.10.0001</t>
  </si>
  <si>
    <t>3.2.02.10.0002</t>
  </si>
  <si>
    <t>3.2.02.10.0003</t>
  </si>
  <si>
    <t>3.2.02.10.0004</t>
  </si>
  <si>
    <t>3.2.02.11</t>
  </si>
  <si>
    <t>CASA 11</t>
  </si>
  <si>
    <t>3.2.02.11.0001</t>
  </si>
  <si>
    <t>3.2.02.11.0002</t>
  </si>
  <si>
    <t>3.2.02.11.0003</t>
  </si>
  <si>
    <t>3.2.02.11.0004</t>
  </si>
  <si>
    <t>3.2.03</t>
  </si>
  <si>
    <t>OUTRAS DESPESAS</t>
  </si>
  <si>
    <t>DESPESAS FINANCEIRAS</t>
  </si>
  <si>
    <t>Juros e Multas</t>
  </si>
  <si>
    <t>Perda em Investimentos</t>
  </si>
  <si>
    <t>Despesa c/ boleta</t>
  </si>
  <si>
    <t>Descontos concedidos - Literatura</t>
  </si>
  <si>
    <t>3.2.03.01.0006</t>
  </si>
  <si>
    <t>Taxa Administracao Cartoes</t>
  </si>
  <si>
    <t>3.2.03.02</t>
  </si>
  <si>
    <t>DESPESAS TRIBUTARIAS</t>
  </si>
  <si>
    <t>3.2.03.02.0001</t>
  </si>
  <si>
    <t>Tributos Municipais</t>
  </si>
  <si>
    <t>3.2.03.02.0002</t>
  </si>
  <si>
    <t>Tributos Estaduais</t>
  </si>
  <si>
    <t>3.2.03.02.0003</t>
  </si>
  <si>
    <t>Tributos Federais</t>
  </si>
  <si>
    <t>3.2.03.02.0004</t>
  </si>
  <si>
    <t>CPMF e IOF</t>
  </si>
  <si>
    <t>3.2.03.02.0006</t>
  </si>
  <si>
    <t>Tributos Nao Retidos</t>
  </si>
  <si>
    <t>3.2.03.02.0099</t>
  </si>
  <si>
    <t>Outros Tributos</t>
  </si>
  <si>
    <t>RESULTADO NAO OPERACIONAL</t>
  </si>
  <si>
    <t>3.3.01</t>
  </si>
  <si>
    <t>RECEITAS NAO OPERACIONAIS</t>
  </si>
  <si>
    <t>Venda de Ativo Permanente</t>
  </si>
  <si>
    <t>3.3.02</t>
  </si>
  <si>
    <t>DESPESAS NAO OPERACIONAIS</t>
  </si>
  <si>
    <t>3.3.02.01</t>
  </si>
  <si>
    <t>3.3.02.01.0001</t>
  </si>
  <si>
    <t>Baixa Ativo Permanente</t>
  </si>
  <si>
    <t>3.3.02.01.0002</t>
  </si>
  <si>
    <t>Outras Despesas Nao Operacionais</t>
  </si>
  <si>
    <t>Assistencia Medica e Odontologica</t>
  </si>
  <si>
    <t>Bookafe</t>
  </si>
  <si>
    <t>Receitas de Conferencias</t>
  </si>
  <si>
    <t>Despesas de Conferencias</t>
  </si>
  <si>
    <t>Casas de Reunioes</t>
  </si>
  <si>
    <t>Casa 01</t>
  </si>
  <si>
    <t>Casa 02</t>
  </si>
  <si>
    <t>Casa 03</t>
  </si>
  <si>
    <t>Casa 04</t>
  </si>
  <si>
    <t>Casa 05</t>
  </si>
  <si>
    <t>Casa 06</t>
  </si>
  <si>
    <t>Casa 07</t>
  </si>
  <si>
    <t>Casa 08</t>
  </si>
  <si>
    <t>Casa 09</t>
  </si>
  <si>
    <t>Casa 10</t>
  </si>
  <si>
    <t>Casa 11</t>
  </si>
  <si>
    <t>Despesas Financeiras e Tributarias</t>
  </si>
  <si>
    <t>Venda de Patrimonio</t>
  </si>
  <si>
    <t>Literatura</t>
  </si>
  <si>
    <t>Servico de Cozinha</t>
  </si>
  <si>
    <t>Construcao</t>
  </si>
  <si>
    <t>Alojamento EAV</t>
  </si>
  <si>
    <t>Bookafe - Casa 02</t>
  </si>
  <si>
    <t>Bookafe - Casa 05</t>
  </si>
  <si>
    <t>Bookafe - Casa 06</t>
  </si>
  <si>
    <t>Bookafe - Casa 07</t>
  </si>
  <si>
    <t>Bookafe - Casa 08</t>
  </si>
  <si>
    <t>Bookafe - Casa 09</t>
  </si>
  <si>
    <t>Bookafe - Casa 10</t>
  </si>
  <si>
    <t>Bookafe - Casa 12</t>
  </si>
  <si>
    <t>Contribuicao Sindical</t>
  </si>
  <si>
    <t>CSRF a Recolher</t>
  </si>
  <si>
    <t>Descontos Concedidos</t>
  </si>
  <si>
    <t>Despesa de Cobranca</t>
  </si>
  <si>
    <t>Inscricoes Outras Igrejas</t>
  </si>
  <si>
    <t>Oferta p/ Construcao do Novo Local</t>
  </si>
  <si>
    <t>Repasse Inscricoes EAV</t>
  </si>
  <si>
    <t>Seguro de Vida em Grupo</t>
  </si>
  <si>
    <t>Oferta p/ Compra de Terreno</t>
  </si>
  <si>
    <t>Bens Patrimoniais</t>
  </si>
  <si>
    <t>Obra do Ministerio</t>
  </si>
  <si>
    <t>Grupo de Contas 1</t>
  </si>
  <si>
    <t>Grupo de Contas 2</t>
  </si>
  <si>
    <t>X</t>
  </si>
  <si>
    <t>Hugo Pereira Filho</t>
  </si>
  <si>
    <t>Aluguel do Auditorio</t>
  </si>
  <si>
    <t>Reembolso - CEAPE</t>
  </si>
  <si>
    <t>Inscricoes de Conferencias</t>
  </si>
  <si>
    <t>Inscricoes Outras Igrejas - Conferencias</t>
  </si>
  <si>
    <t>Outras Entradas - Conferencias</t>
  </si>
  <si>
    <t>Transporte de Conferencias</t>
  </si>
  <si>
    <t>Vendas de Refeicoes e Lanches - Conferencias</t>
  </si>
  <si>
    <t>Oferta p/ Construcao</t>
  </si>
  <si>
    <t>Agua, Luz e Telefone (Casa 1)</t>
  </si>
  <si>
    <t>Agua, Luz e Telefone (Casa 2)</t>
  </si>
  <si>
    <t>Aluguel, Iptu, Seguro e Taxas (Casa 2)</t>
  </si>
  <si>
    <t>Higiene e Limpeza (Casa 1)</t>
  </si>
  <si>
    <t>Higiene e Limpeza (Casa 2)</t>
  </si>
  <si>
    <t>Iptu, seguro e taxas (Casa 1)</t>
  </si>
  <si>
    <t>Manutencao e Reparos (Casa 1)</t>
  </si>
  <si>
    <t>Manutencao e Reparos (Casa 2)</t>
  </si>
  <si>
    <t>Aluguel de Bens Moveis - Conferencia</t>
  </si>
  <si>
    <t>Aluguel de Imoveis - Conferencia</t>
  </si>
  <si>
    <t>Combustivel e Locomocao - Conferencia</t>
  </si>
  <si>
    <t>Fretamento de Veiculos - Conferencia</t>
  </si>
  <si>
    <t>Ministerio da Palavra - Conferencia</t>
  </si>
  <si>
    <t>Oferta p/ Participacao de Irmaos - Conferencia</t>
  </si>
  <si>
    <t>Repasse inscricoes EAV - Conferencia</t>
  </si>
  <si>
    <t>Servico de Cozinha e Alimentacao - Conferencia</t>
  </si>
  <si>
    <t>Servico de Criancas - Conferencia</t>
  </si>
  <si>
    <t>Servico de Inscricao - Conferencia</t>
  </si>
  <si>
    <t>Servicos Graficos - Conferencia</t>
  </si>
  <si>
    <t>13º salario</t>
  </si>
  <si>
    <t>Adiantamento de Salario</t>
  </si>
  <si>
    <t>Despesas de Cobranca</t>
  </si>
  <si>
    <t>Servico Cozinha - Alimentacao e Refeitorio</t>
  </si>
  <si>
    <t>Servico de Literatura</t>
  </si>
  <si>
    <t>Combustivel e Locomocao</t>
  </si>
  <si>
    <t>Outras Despesas</t>
  </si>
  <si>
    <t>Despesas Tributarias</t>
  </si>
  <si>
    <t>Descricao da Conta</t>
  </si>
  <si>
    <t>Cód Vinculação</t>
  </si>
  <si>
    <t>SERVICO DE ADOLESCENTES</t>
  </si>
  <si>
    <t>CONGRESSO DE MULHERES</t>
  </si>
  <si>
    <t>SERVICO DE CRIANCAS</t>
  </si>
  <si>
    <t>SERVICO DA MATURIDADE</t>
  </si>
  <si>
    <t>FABRICA DE VENCEDORES</t>
  </si>
  <si>
    <t>SERVICO DE JOVENS - START</t>
  </si>
  <si>
    <t>SERVICOS DA IGREJA</t>
  </si>
  <si>
    <t>MINISTERIO DE MULHERES</t>
  </si>
  <si>
    <t>CONFERENCIA INTERNACIONAL</t>
  </si>
  <si>
    <t>CONFERENCIA MICRORREGIONAL</t>
  </si>
  <si>
    <t>Transferência de Saída</t>
  </si>
  <si>
    <t>Transferência de Entrada</t>
  </si>
  <si>
    <t>XXX</t>
  </si>
  <si>
    <t>FRAGA TUR LTDA</t>
  </si>
  <si>
    <t>VICTOR FERNANDES DA SILVA</t>
  </si>
  <si>
    <t>EMPREITEIRA SOLOS LTDA</t>
  </si>
  <si>
    <t>DISTRIBUIDORA E LIVRARIA MANANCIAL LTDA</t>
  </si>
  <si>
    <t>BOLD PARTICIPAÇÃO S/A</t>
  </si>
  <si>
    <t>ESQUINAO MATERIAIS DE CONSTRUÇAO LTDA</t>
  </si>
  <si>
    <t>MATHEUS BATISTA DE ARAUJO</t>
  </si>
  <si>
    <t>JOSE LUIS REBELO</t>
  </si>
  <si>
    <t>SERIO PEREIRA TRANSPORTES</t>
  </si>
  <si>
    <t>VALORE INVESTIMENTOS IMOBILIARIOS LTDA</t>
  </si>
  <si>
    <t>DANIEL MATEUS DUARTE</t>
  </si>
  <si>
    <t>IRENE CRISTINA BARSANTE DE OLIVEIRA</t>
  </si>
  <si>
    <t>ALINE DE OLIVEIRA RIBEIRO DUARTE</t>
  </si>
  <si>
    <t>VAREJAO PLANALTO LTDA</t>
  </si>
  <si>
    <t>TURISMO ABC LTDA</t>
  </si>
  <si>
    <t>DENISE BARBOSA SANTIAGO</t>
  </si>
  <si>
    <t>WMB SUPERMERCADOS DO BRASIL LTDA</t>
  </si>
  <si>
    <t>STILO SALGADOS LTDA</t>
  </si>
  <si>
    <t>CENTRAL ATACADO DOS HORTIFRUTIGRANJEIROS LTDA</t>
  </si>
  <si>
    <t>WELINGTON VICTORIANO COELHO</t>
  </si>
  <si>
    <t>CARLOS BRIAN MONTEIRO</t>
  </si>
  <si>
    <t>MARCOS DE PAULA SERGIO</t>
  </si>
  <si>
    <t>HELIO SILVA AMANCIO</t>
  </si>
  <si>
    <t>MAURICIO FLAVIANO MARTINS</t>
  </si>
  <si>
    <t>EDILSON GERALDO DE ASSIS</t>
  </si>
  <si>
    <t>MINAS FERRAMENTAS LTDA</t>
  </si>
  <si>
    <t>MAURICIO DA SILVA DE OLIVEIRA</t>
  </si>
  <si>
    <t>MARIA SIDONIA DOS SANTOS</t>
  </si>
  <si>
    <t>VERA LUCIA DOS SANTOS</t>
  </si>
  <si>
    <t>IDERALDO JOSE DO NASCIMENTO</t>
  </si>
  <si>
    <t>MAIR DA SILVA</t>
  </si>
  <si>
    <t>ANA CAROLINA SENA NEVES</t>
  </si>
  <si>
    <t>ANA FERREIRA SILVA RODRIGUES</t>
  </si>
  <si>
    <t>FRIOPAM LTDA</t>
  </si>
  <si>
    <t>EMPORIO VERDE COMERCIO DE ALIMENTOS LTDA</t>
  </si>
  <si>
    <t>CENTRAL DAS PIMENTAS COM ALIM LTD</t>
  </si>
  <si>
    <t>IDERALDO JOSE DOS SANTOS</t>
  </si>
  <si>
    <t>BOLD PARTICIPACAO S/A</t>
  </si>
  <si>
    <t>GOOD BOM SUPERMERCADOS LTDA</t>
  </si>
  <si>
    <t>TENDA ATACADO S/A</t>
  </si>
  <si>
    <t>EVERLIMP COMERCIO E DISTRIBUIÇAO E DISTRIUIDORA EIRELI</t>
  </si>
  <si>
    <t>ROBSON LUIZ MACHADO</t>
  </si>
  <si>
    <t>EDNA CRISTINA FERNANDES</t>
  </si>
  <si>
    <t>VIAMEL DISTRIBUIDORA LTDA</t>
  </si>
  <si>
    <t>COMERCIAL PRATTI LTDA</t>
  </si>
  <si>
    <t>MARCIA REGINA DOS SANTOS</t>
  </si>
  <si>
    <t>SOLANGE ALVES DA SILVA</t>
  </si>
  <si>
    <t>LATICINIOS CAMINHO DA ROCA LTDA</t>
  </si>
  <si>
    <t>CENTRAL MADEIRAS EIRELI</t>
  </si>
  <si>
    <t>FERNANDA DE ARAUJO MARTINS LOURES</t>
  </si>
  <si>
    <t>LATICINIOS ARAUJO LTDA</t>
  </si>
  <si>
    <t>JOBIS FERREIRA DE ALVARENGA</t>
  </si>
  <si>
    <t>ROSINEIDE CONCEICAO DOS SANTOS</t>
  </si>
  <si>
    <t>DAVI MATEUS DE OLIVEIRA DUARTE</t>
  </si>
  <si>
    <t>LOJAS LE BISCUIT S/A</t>
  </si>
  <si>
    <t>NOVAES E PUNJITO LTDA</t>
  </si>
  <si>
    <t>J A PNEUS E ACESSORIO LTDA</t>
  </si>
  <si>
    <t>SUPERMERCADO BH COM DE ALIMENTOS S/A</t>
  </si>
  <si>
    <t>FEIJOADAS IMPERATRIZ LTDA EPP</t>
  </si>
  <si>
    <t>EMPORIO C MARQUES LTDA</t>
  </si>
  <si>
    <t>PAGUE MENOS COM DE PROD ALIM LTDA</t>
  </si>
  <si>
    <t>ORGANIZAÇÃO VERDEMAR LTDA</t>
  </si>
  <si>
    <t>EDIMAR PINTO RIBEIRO</t>
  </si>
  <si>
    <t>S P COMERCIO DE GAS LTDA</t>
  </si>
  <si>
    <t>ORLANDO COSTA DO AMARAL</t>
  </si>
  <si>
    <t>QUINTEL MATERIAIS ELETRICOS LTDA</t>
  </si>
  <si>
    <t>DANIEL COSTA VESPASIANO</t>
  </si>
  <si>
    <t>JONAS OLIVEIRA SILVA</t>
  </si>
  <si>
    <t>SAMUEL DA SILVA</t>
  </si>
  <si>
    <t>EMMERSON ALMEIDA DE CASTRO</t>
  </si>
  <si>
    <t>KALUNGA S/A</t>
  </si>
  <si>
    <t>WM SUPERMERCADOS DO BRASIL LTDA</t>
  </si>
  <si>
    <t>ORGANIZAÇÃO MADRONA E PAULA LTDA</t>
  </si>
  <si>
    <t>MULTI FORMATO DISTRIBUIDORA S/A</t>
  </si>
  <si>
    <t>GERALDO GONCALVES TEIXEIRA</t>
  </si>
  <si>
    <t>DIAMANTE MINEIRO INDUSTRIA E COMERCIO DE ALIMENTOS</t>
  </si>
  <si>
    <t>MADEIRAS MINAS GERAIS EIRELI</t>
  </si>
  <si>
    <t>EVANDRO CLAUDIO VIEIRA DE ARAUJO</t>
  </si>
  <si>
    <t>DANIEL REZENDE ALVES</t>
  </si>
  <si>
    <t>LUANA APARECIDA DOS SANTOS SOUZA</t>
  </si>
  <si>
    <t>CLAUDIO PEREIRA RIEIRO</t>
  </si>
  <si>
    <t>MARCIO DE OLIVEIRA GONCALVES</t>
  </si>
  <si>
    <t>JOAO HENRIQUE PEREIRA DOS SANTOS</t>
  </si>
  <si>
    <t>PAG SEGURO</t>
  </si>
  <si>
    <t>PONTO DAS FARINHAS COMERCIO</t>
  </si>
  <si>
    <t>TINTAS VALLE LTDA</t>
  </si>
  <si>
    <t>AGEO AGROPECUARIA LTDA</t>
  </si>
  <si>
    <t>POLPA RICA DISTRIUICAO LTDA</t>
  </si>
  <si>
    <t>GIVANILDO DE SOUZA</t>
  </si>
  <si>
    <t>DANTEX COMERCIO DE TECIDOS E ARMARINHO LTDA</t>
  </si>
  <si>
    <t>AUTO POSTO MATOZINHO LTDA</t>
  </si>
  <si>
    <t>DROGARIA DROGAFARMA LTDA</t>
  </si>
  <si>
    <t>MARCIO DE JESUS SOUZA ME</t>
  </si>
  <si>
    <t>TECNOSONIC ELETRONICA LTDA</t>
  </si>
  <si>
    <t>PADARIA MAX PAO LTDA</t>
  </si>
  <si>
    <t>CEVAROLI SUPERMERCADOS LTDA</t>
  </si>
  <si>
    <t>BH FILTROS E BEBEDOUROS E PURIFICADORES DE AGUA LTDA</t>
  </si>
  <si>
    <t>POSTO ESTAÇÃO BH LTDA</t>
  </si>
  <si>
    <t>DAVI MATEUS DUARTE</t>
  </si>
  <si>
    <t>DMA DISTRIBUIDORA S/A</t>
  </si>
  <si>
    <t>RICOFER COMERCIO VAREJISTA LTDA EPP</t>
  </si>
  <si>
    <t>PRODOESTE VEICULOS E SERVIÇOS LTDA</t>
  </si>
  <si>
    <t>UBERABA SUPERMERCADO EIRELI</t>
  </si>
  <si>
    <t>INSETICOM DESINFESTACAO LTDA ME</t>
  </si>
  <si>
    <t>P P R AUTO POSTO LTDA</t>
  </si>
  <si>
    <t>GIVANILDO</t>
  </si>
  <si>
    <t>OTHON DE CARVALHO E CIA LTDA</t>
  </si>
  <si>
    <t>VELOSO CONSTRUCOES E PERFIS METALICOS LTDA</t>
  </si>
  <si>
    <t>AUTO POSTO CIDADE ORQUIDEA</t>
  </si>
  <si>
    <t>ELETRO FERRAGENS CASA E CIA LTDA</t>
  </si>
  <si>
    <t>CLUBE BENEFICIOS EXCLUSIVE</t>
  </si>
  <si>
    <t>ATACADAO SUPERMERCADO DO BRASIL LTDA</t>
  </si>
  <si>
    <t>TROP CANA MOVEIS E DECORAÇOES LTDA</t>
  </si>
  <si>
    <t>ATLANTIDA AQUARIOS LTDA</t>
  </si>
  <si>
    <t>COMERCIAL DAHANA LTDA</t>
  </si>
  <si>
    <t>POSTO TOPAZIO LTDA</t>
  </si>
  <si>
    <t>GWR INDUSTRIA E COMERCIO DE PARAFUSOS LTDA</t>
  </si>
  <si>
    <t>AUTO POSTO COMETA LTDA</t>
  </si>
  <si>
    <t>MAFERGE COMERCIO E INDUSTRIA LTDA</t>
  </si>
  <si>
    <t>NOVAES E PUNJILO LTDA</t>
  </si>
  <si>
    <t>LM DERIVADOS DE PETROLEO LTDA</t>
  </si>
  <si>
    <t>POSTO SERVSUL EIRELI</t>
  </si>
  <si>
    <t>AUTO POSTO ENSEADA AZUL LTDA</t>
  </si>
  <si>
    <t>ROSANGELA APARECIDA ALCANTARA ALVES</t>
  </si>
  <si>
    <t>POSTO COMETA LTDA</t>
  </si>
  <si>
    <t>POSTO CIDADE IGARAPE LTDA</t>
  </si>
  <si>
    <t>FERRAGENS DELIVERY LTDA</t>
  </si>
  <si>
    <t>POSTO BRUNINHA LTDA</t>
  </si>
  <si>
    <t>COMERCIAL DE PETROLEO VILARINHO LTDA</t>
  </si>
  <si>
    <t>POSTO JOCA LTDA</t>
  </si>
  <si>
    <t>POSTO ITATIAIA LTDA</t>
  </si>
  <si>
    <t>MODERNA INDUSTRIA DE PLASTICOS E MOVEIS LTDA</t>
  </si>
  <si>
    <t>POSTO DE COMBUSTIVEIS MAVERICKS LTDA</t>
  </si>
  <si>
    <t>AGENCIA DO OLEO</t>
  </si>
  <si>
    <t>ARENA ATACADO SUPERMERCADOS CAVICCHIULLI LTDA</t>
  </si>
  <si>
    <t>ISABELLA CRISTIANE FREITAS DE PAIVA</t>
  </si>
  <si>
    <t>VIAMEL DISTRIBUIDORA S/A</t>
  </si>
  <si>
    <t>POSTO LIDER EIRELI</t>
  </si>
  <si>
    <t>PANIFICADORA E CONFEITARIA DINIZ</t>
  </si>
  <si>
    <t>KELLY PEREIRA LUCAS</t>
  </si>
  <si>
    <t>PAIRONEO RODRIGUES FREITAS</t>
  </si>
  <si>
    <t>BOM GAS REVENDA DE GAS LTDA</t>
  </si>
  <si>
    <t>COMERCIAL MIGUEL E GUIMARAES LTDA</t>
  </si>
  <si>
    <t>JL TECIDOS E PLASTICOS LTDA</t>
  </si>
  <si>
    <t>JAQUELINE FERREIRA DIAS</t>
  </si>
  <si>
    <t>AUTO POSTO VALE LTDA</t>
  </si>
  <si>
    <t>FEDERALLE HOME CENTER</t>
  </si>
  <si>
    <t>GMI DISTRIBUIDORA S/A</t>
  </si>
  <si>
    <t>HIDROELETRICA TIROL LTDA</t>
  </si>
  <si>
    <t>ACM DISTRIBUIDORA DE PROD ELETRO EIRELI - ME</t>
  </si>
  <si>
    <t>SAO LUIZ COMBUSTIVEIS LTDA</t>
  </si>
  <si>
    <t>MARIA CECILIA DE PAULA SANTOS COSTA</t>
  </si>
  <si>
    <t>HOLAMBELO FLORES E PLANTAS LTDA</t>
  </si>
  <si>
    <t>POSTO MG 10 LTDA</t>
  </si>
  <si>
    <t>POSTO TROPICO LTDA</t>
  </si>
  <si>
    <t>POSTO FLORADA LTDA</t>
  </si>
  <si>
    <t>ROCHAFORTE INDUSTRIA E COMERCIO DE MARMORES E GRANITOS LTDA</t>
  </si>
  <si>
    <t>CENTRO AUTOMOTIVO FALCAO LTDA</t>
  </si>
  <si>
    <t>POSTO SERRA DO CIPO LTDA</t>
  </si>
  <si>
    <t>POSTO OCEANO AZUL LTDA</t>
  </si>
  <si>
    <t>PLANALTO POSTO DE SERVICOS LTDA</t>
  </si>
  <si>
    <t>AGUIA IV COMERCIO DE COMBUSTIVEIS LTDA</t>
  </si>
  <si>
    <t>COMERCIAL MINAS GRILL LTDA</t>
  </si>
  <si>
    <t>GAS RAS LTDA</t>
  </si>
  <si>
    <t>POSTO SERENA COLIBRI LTDA</t>
  </si>
  <si>
    <t>MINEIRAO POSTO DE SERVIÇOS LTDA</t>
  </si>
  <si>
    <t>AVIVA COMERCIO DE COMBUSTIVEIS E LUBRIFICANTES EIRELI</t>
  </si>
  <si>
    <t>POSTO TUNEL LTDA</t>
  </si>
  <si>
    <t>POSTO MARIO WERNECK LIMITADA</t>
  </si>
  <si>
    <t>POSTO JE LTDA</t>
  </si>
  <si>
    <t>POSTO ANTUNES LTDA</t>
  </si>
  <si>
    <t>TE CONTEI LTDA</t>
  </si>
  <si>
    <t>NOVO POSTO CRISTIANO MACHADO LTDA</t>
  </si>
  <si>
    <t>POSTO ENTRADA OBRIGATORIA LTDA</t>
  </si>
  <si>
    <t>GAS BRAS LTDA</t>
  </si>
  <si>
    <t>POSTO PODIUM COMERC DE DERIVADOS DE PETROLEO</t>
  </si>
  <si>
    <t>POSTO SERENA NORTE COMERCIO DE COMBUSTIVEIS LTDA</t>
  </si>
  <si>
    <t>COMERCIO DE PETROLEO VILARINHO LTDA</t>
  </si>
  <si>
    <t>ANA MARGARIDA DE OLIVEIRA RODRIGUES - ME</t>
  </si>
  <si>
    <t>ORG. BRAZALMEIDA COM DE PROD ALI LTDA</t>
  </si>
  <si>
    <t>MADEIREIRA TIROL LTDA</t>
  </si>
  <si>
    <t>CLARISSE ESTANISLAU COELHO FAGUNDES</t>
  </si>
  <si>
    <t>PB PONTO DO BOMBEIRO MATERIAL HIDRAULICO LTDA</t>
  </si>
  <si>
    <t>CELT COMERCIO DE COMBUSTIVEIS E LUBRIFICANTES</t>
  </si>
  <si>
    <t>SAMUEL SILVA BARROSO</t>
  </si>
  <si>
    <t>LOJA DOS PARAFUSOS</t>
  </si>
  <si>
    <t>POSTO TATIANA LTDA</t>
  </si>
  <si>
    <t>POSTO BATISTAO LIMITADA</t>
  </si>
  <si>
    <t>POSTO PARADA BOA LTDA</t>
  </si>
  <si>
    <t>POSTO DE COMBUSTIVEL LUBRIMIL LTDA</t>
  </si>
  <si>
    <t>POSTO LEANDRO LTDA</t>
  </si>
  <si>
    <t>POSTO SR LTDA</t>
  </si>
  <si>
    <t>ADICAO DISTRIBUICAO EXPRESS S/A</t>
  </si>
  <si>
    <t>VAREJAO PARANAIBA LTDA</t>
  </si>
  <si>
    <t>ATAIDE SICONHA ZAGUE SILVA</t>
  </si>
  <si>
    <t>HEBERT F. DE FARIA</t>
  </si>
  <si>
    <t>POSTO BOM BOM LTDA</t>
  </si>
  <si>
    <t>SAO LUIZ COMUSTIVEIS LTDA</t>
  </si>
  <si>
    <t>POSTO SERRANO LTDA</t>
  </si>
  <si>
    <t>COMERCIAL PARANAIBA DE ALIMENTOS LTDA</t>
  </si>
  <si>
    <t>COMERCIAL DE BOMAS E MOTORES LTDA</t>
  </si>
  <si>
    <t>QHB SUPERMERCADOS DO BRASIL LTDA</t>
  </si>
  <si>
    <t>DROGARIA VENDA NOVA LTDA</t>
  </si>
  <si>
    <t>ESTACAO ALIMENTOS LTDA EPP</t>
  </si>
  <si>
    <t>LAYLA PEREIRA BORGES DA COSTA</t>
  </si>
  <si>
    <t>INDUSTRIA DE BISCOITOS HELENINHA LTDA</t>
  </si>
  <si>
    <t>POSTO BOA ESPERANÇA LTDA</t>
  </si>
  <si>
    <t>SOCIEDADE COMERCIAL CANAA LTDA</t>
  </si>
  <si>
    <t>CASA &amp; REPAROS MATERIAIS DE CONSTRUCAO EIRELI</t>
  </si>
  <si>
    <t>CONTAGEM ALIMENTOS LTDA</t>
  </si>
  <si>
    <t>FERRAGENS VIEIRA LTDA</t>
  </si>
  <si>
    <t>MULTILONAS COMERCIO DE LONAS LTDA</t>
  </si>
  <si>
    <t>VIA ESTACAO CULTURA E SERVIÇOS LTDA</t>
  </si>
  <si>
    <t>POSTO SINALEIRO LTDA</t>
  </si>
  <si>
    <t>POSTO REAL SETE</t>
  </si>
  <si>
    <t>EMPRESA BRASILEIRA DE CORREIOS E TELEGRAFOS</t>
  </si>
  <si>
    <t>AUTO POSTO SANDRELLE II TODA</t>
  </si>
  <si>
    <t>MULTIPEÇAS AUTOMAÇÃO LTDA</t>
  </si>
  <si>
    <t>SETIL SERVIÇOS TECICOS INDUSTRIAL LTDA</t>
  </si>
  <si>
    <t>ARR ESTAÇÃO BH LTDA</t>
  </si>
  <si>
    <t>POSTO UNIAO LTDA</t>
  </si>
  <si>
    <t>POSTO SAO SEBASTIAO LTDA</t>
  </si>
  <si>
    <t>BH ORGANIZACOES GUALBERTO LTDA</t>
  </si>
  <si>
    <t>POSTO ITATIAIA</t>
  </si>
  <si>
    <t>JOAO PACIFICO ANTUNES SPOSITO</t>
  </si>
  <si>
    <t>POSTO WAP CRISTIAO MACHADO LTDA</t>
  </si>
  <si>
    <t>POSTO SERENA COMERCIO DE COMBUSTIVEIS LTDA</t>
  </si>
  <si>
    <t>POSTO TUBARAO LTDA</t>
  </si>
  <si>
    <t>NOVO POSTO FERNAO DIAS LTDA</t>
  </si>
  <si>
    <t>CARVALHO ENGENHARIA LTDA</t>
  </si>
  <si>
    <t>POSTO CAMOES LTDA</t>
  </si>
  <si>
    <t>POSTO GABI LTDA</t>
  </si>
  <si>
    <t>POSTO RC LTDA</t>
  </si>
  <si>
    <t>POSTO CRISTIAO MACHADO LTDA</t>
  </si>
  <si>
    <t>LA NO MERCADO LTDA</t>
  </si>
  <si>
    <t>CASA &amp; REPAROS MATERIAIS DE CONSTRUÇOES EIRELI</t>
  </si>
  <si>
    <t>POSTO WOP CRISTIAO MACHADO LTDA</t>
  </si>
  <si>
    <t>DMA DISTRIUIDORA S/A</t>
  </si>
  <si>
    <t>LUIZ CLAUDIO VIANA</t>
  </si>
  <si>
    <t>DROGARIA ARAUJO S/A</t>
  </si>
  <si>
    <t>VENDA NORTE COMERCIAL LTDA</t>
  </si>
  <si>
    <t>MERCADO CENTRAL AAST. E SERVIÇOS</t>
  </si>
  <si>
    <t>HIPER CARIJOS LTDA</t>
  </si>
  <si>
    <t>MARIA JOSE ALVES DE SOUZA - ME</t>
  </si>
  <si>
    <t>POSTO DE COMBUSTIVEIS RIBEIRAO DAS NEVES MG</t>
  </si>
  <si>
    <t>VILA PAPEL LTDA</t>
  </si>
  <si>
    <t>SUPERMERCADOS BH COM DE ALIMENTOS S/A</t>
  </si>
  <si>
    <t>GR SERVICOS E ALIMENTACAO LTDA</t>
  </si>
  <si>
    <t>VAREJO PLANALTO LTDA</t>
  </si>
  <si>
    <t>GERAL MINAS FERRAGENS E FERRAMENTAS LTDA</t>
  </si>
  <si>
    <t>ELETRO HIDRAULICA CAMPO ALEGRE LTDA</t>
  </si>
  <si>
    <t>DEPOSITO DO ANIZIO LTDA</t>
  </si>
  <si>
    <t>SUBWAY LAP</t>
  </si>
  <si>
    <t>PADARIA E MERCEARIA REZENDE GROSSI LTDA</t>
  </si>
  <si>
    <t>AMERICANAS S/A</t>
  </si>
  <si>
    <t>ELETRONICA AGM LTDA</t>
  </si>
  <si>
    <t>K RASIL OPERAÇAO E ASSESSORIA A RESTAURANTES S/A</t>
  </si>
  <si>
    <t>DISTRIBUIDORA TRIANGULO LTDA</t>
  </si>
  <si>
    <t>VAREJAO ASTEKA LTDA</t>
  </si>
  <si>
    <t>SUPERMERCADO UBERADA EIRELI</t>
  </si>
  <si>
    <t>MIXER FOOD LANCHES LTDA</t>
  </si>
  <si>
    <t>Obra Regional - Adiantamentos e Emprestimos</t>
  </si>
  <si>
    <t>Devolucoes de Dizimos e Ofertas</t>
  </si>
  <si>
    <t>Oferta p/ Obra Regional</t>
  </si>
  <si>
    <t>Fernando Claudio Neves</t>
  </si>
  <si>
    <t>1.1.02.01.0040</t>
  </si>
  <si>
    <t>Obras em Andamento - Predio Anexo</t>
  </si>
  <si>
    <t>1.2.02.03.0014</t>
  </si>
  <si>
    <t>Associacao Arvore da Vida - Emprestimo</t>
  </si>
  <si>
    <t>Associacao Arvore da Vida</t>
  </si>
  <si>
    <t>2.1.02.01.0006</t>
  </si>
  <si>
    <t>Estacionamento (Casa 1)</t>
  </si>
  <si>
    <t>3.2.02.01.0005</t>
  </si>
  <si>
    <t>Estacionamento</t>
  </si>
  <si>
    <t>3.2.02.02.0005</t>
  </si>
  <si>
    <t>Fernando Claudio Neves - Emprestimo</t>
  </si>
  <si>
    <t>Hugo Pereira Filho - Emprestimo</t>
  </si>
  <si>
    <t>Transporte (Casa 2)</t>
  </si>
  <si>
    <t>1.2.02.01.0009</t>
  </si>
  <si>
    <t>Consorcio de Veiculos</t>
  </si>
  <si>
    <t>2.1.03.01.0006</t>
  </si>
  <si>
    <t>Tributos Federais a Recolher</t>
  </si>
  <si>
    <t>2.1.04.01.0003</t>
  </si>
  <si>
    <t>Renda Eclesiastica a Pagar</t>
  </si>
  <si>
    <t>3.2.01.01.0032</t>
  </si>
  <si>
    <t>Servico de Adolescentes</t>
  </si>
  <si>
    <t>Despesas de Escritorio e Consumo</t>
  </si>
  <si>
    <t>Distribuidora e Livraria Manancial - Emprestimo</t>
  </si>
  <si>
    <t>Mauricio Flaviano Martins</t>
  </si>
  <si>
    <t>Mauricio Flaviano Martins - Emprestimo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</si>
</sst>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[Red]\-#,##0\ "/>
    <numFmt numFmtId="165" formatCode="0%;[Red]\-0%"/>
  </numFmts>
  <fonts count="25" x14ac:knownFonts="1">
    <font>
      <sz val="11"/>
      <color theme="1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</font>
    <font>
      <b/>
      <sz val="9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39997558519241921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</cellStyleXfs>
  <cellXfs count="140">
    <xf numFmtId="0" fontId="0" fillId="0" borderId="0" xfId="0"/>
    <xf numFmtId="0" fontId="1" fillId="0" borderId="0" xfId="0" applyFont="1" applyAlignment="1">
      <alignment horizontal="left" indent="1"/>
    </xf>
    <xf numFmtId="0" fontId="7" fillId="6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5" borderId="0" xfId="0" applyFont="1" applyFill="1"/>
    <xf numFmtId="0" fontId="6" fillId="7" borderId="0" xfId="0" applyFont="1" applyFill="1" applyAlignment="1">
      <alignment horizontal="center"/>
    </xf>
    <xf numFmtId="0" fontId="7" fillId="0" borderId="0" xfId="0" applyFont="1"/>
    <xf numFmtId="3" fontId="4" fillId="0" borderId="1" xfId="3" applyNumberFormat="1" applyFont="1" applyBorder="1" applyAlignment="1">
      <alignment horizontal="left" indent="1"/>
    </xf>
    <xf numFmtId="164" fontId="4" fillId="0" borderId="1" xfId="1" applyNumberFormat="1" applyFont="1" applyBorder="1" applyAlignment="1"/>
    <xf numFmtId="164" fontId="4" fillId="0" borderId="0" xfId="1" applyNumberFormat="1" applyFont="1" applyFill="1" applyBorder="1" applyAlignment="1"/>
    <xf numFmtId="0" fontId="4" fillId="0" borderId="0" xfId="0" applyFont="1"/>
    <xf numFmtId="3" fontId="4" fillId="0" borderId="1" xfId="0" applyNumberFormat="1" applyFont="1" applyBorder="1" applyAlignment="1">
      <alignment horizontal="left" indent="1"/>
    </xf>
    <xf numFmtId="164" fontId="9" fillId="0" borderId="0" xfId="1" applyNumberFormat="1" applyFont="1" applyFill="1" applyBorder="1" applyAlignment="1"/>
    <xf numFmtId="3" fontId="6" fillId="2" borderId="1" xfId="0" applyNumberFormat="1" applyFont="1" applyFill="1" applyBorder="1"/>
    <xf numFmtId="164" fontId="7" fillId="2" borderId="1" xfId="1" applyNumberFormat="1" applyFont="1" applyFill="1" applyBorder="1" applyAlignment="1"/>
    <xf numFmtId="164" fontId="7" fillId="0" borderId="0" xfId="1" applyNumberFormat="1" applyFont="1" applyFill="1" applyBorder="1" applyAlignment="1"/>
    <xf numFmtId="9" fontId="7" fillId="2" borderId="1" xfId="2" applyFont="1" applyFill="1" applyBorder="1" applyAlignment="1"/>
    <xf numFmtId="9" fontId="4" fillId="0" borderId="1" xfId="2" applyFont="1" applyBorder="1" applyAlignment="1"/>
    <xf numFmtId="164" fontId="6" fillId="3" borderId="1" xfId="0" applyNumberFormat="1" applyFont="1" applyFill="1" applyBorder="1"/>
    <xf numFmtId="0" fontId="6" fillId="3" borderId="1" xfId="0" applyFont="1" applyFill="1" applyBorder="1"/>
    <xf numFmtId="164" fontId="6" fillId="2" borderId="1" xfId="1" applyNumberFormat="1" applyFont="1" applyFill="1" applyBorder="1" applyAlignment="1"/>
    <xf numFmtId="9" fontId="6" fillId="2" borderId="1" xfId="2" applyFont="1" applyFill="1" applyBorder="1" applyAlignment="1"/>
    <xf numFmtId="164" fontId="4" fillId="0" borderId="0" xfId="0" applyNumberFormat="1" applyFont="1"/>
    <xf numFmtId="3" fontId="4" fillId="8" borderId="1" xfId="0" applyNumberFormat="1" applyFont="1" applyFill="1" applyBorder="1" applyAlignment="1">
      <alignment horizontal="left" indent="1"/>
    </xf>
    <xf numFmtId="164" fontId="4" fillId="8" borderId="1" xfId="1" applyNumberFormat="1" applyFont="1" applyFill="1" applyBorder="1" applyAlignment="1"/>
    <xf numFmtId="3" fontId="6" fillId="0" borderId="0" xfId="0" applyNumberFormat="1" applyFont="1"/>
    <xf numFmtId="9" fontId="7" fillId="0" borderId="0" xfId="2" applyFont="1" applyFill="1" applyBorder="1" applyAlignment="1"/>
    <xf numFmtId="9" fontId="10" fillId="3" borderId="1" xfId="2" applyFont="1" applyFill="1" applyBorder="1" applyAlignment="1"/>
    <xf numFmtId="0" fontId="9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15" fillId="0" borderId="0" xfId="0" applyFont="1"/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7" fillId="7" borderId="1" xfId="0" applyFont="1" applyFill="1" applyBorder="1" applyAlignment="1">
      <alignment horizontal="left" vertical="center"/>
    </xf>
    <xf numFmtId="164" fontId="4" fillId="7" borderId="1" xfId="1" applyNumberFormat="1" applyFont="1" applyFill="1" applyBorder="1" applyAlignment="1">
      <alignment horizontal="right" vertical="center"/>
    </xf>
    <xf numFmtId="9" fontId="4" fillId="7" borderId="1" xfId="2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/>
    </xf>
    <xf numFmtId="164" fontId="4" fillId="9" borderId="1" xfId="1" applyNumberFormat="1" applyFont="1" applyFill="1" applyBorder="1" applyAlignment="1">
      <alignment horizontal="right" vertical="center"/>
    </xf>
    <xf numFmtId="9" fontId="4" fillId="9" borderId="1" xfId="2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1" xfId="0" applyFont="1" applyBorder="1"/>
    <xf numFmtId="0" fontId="14" fillId="0" borderId="0" xfId="0" applyFont="1"/>
    <xf numFmtId="164" fontId="4" fillId="0" borderId="0" xfId="1" applyNumberFormat="1" applyFont="1" applyBorder="1" applyAlignment="1"/>
    <xf numFmtId="0" fontId="4" fillId="0" borderId="0" xfId="0" applyFont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9" fontId="4" fillId="0" borderId="1" xfId="2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7" fillId="10" borderId="1" xfId="1" applyNumberFormat="1" applyFont="1" applyFill="1" applyBorder="1" applyAlignment="1"/>
    <xf numFmtId="164" fontId="4" fillId="0" borderId="1" xfId="1" applyNumberFormat="1" applyFont="1" applyBorder="1" applyAlignment="1">
      <alignment wrapText="1"/>
    </xf>
    <xf numFmtId="165" fontId="4" fillId="0" borderId="1" xfId="2" applyNumberFormat="1" applyFont="1" applyFill="1" applyBorder="1" applyAlignment="1">
      <alignment horizontal="center" wrapText="1"/>
    </xf>
    <xf numFmtId="165" fontId="6" fillId="10" borderId="1" xfId="2" applyNumberFormat="1" applyFont="1" applyFill="1" applyBorder="1" applyAlignment="1">
      <alignment horizontal="center" wrapText="1"/>
    </xf>
    <xf numFmtId="9" fontId="7" fillId="2" borderId="1" xfId="2" applyFont="1" applyFill="1" applyBorder="1" applyAlignment="1">
      <alignment horizontal="center"/>
    </xf>
    <xf numFmtId="9" fontId="7" fillId="0" borderId="0" xfId="2" applyFont="1" applyFill="1" applyBorder="1" applyAlignment="1">
      <alignment horizontal="center"/>
    </xf>
    <xf numFmtId="9" fontId="10" fillId="3" borderId="1" xfId="2" applyFont="1" applyFill="1" applyBorder="1" applyAlignment="1">
      <alignment horizontal="center"/>
    </xf>
    <xf numFmtId="0" fontId="17" fillId="3" borderId="3" xfId="0" applyFont="1" applyFill="1" applyBorder="1" applyAlignment="1">
      <alignment vertical="center"/>
    </xf>
    <xf numFmtId="0" fontId="17" fillId="3" borderId="4" xfId="0" applyFont="1" applyFill="1" applyBorder="1" applyAlignment="1">
      <alignment vertical="center"/>
    </xf>
    <xf numFmtId="164" fontId="17" fillId="3" borderId="4" xfId="0" applyNumberFormat="1" applyFont="1" applyFill="1" applyBorder="1" applyAlignment="1">
      <alignment vertical="center"/>
    </xf>
    <xf numFmtId="164" fontId="17" fillId="3" borderId="2" xfId="0" applyNumberFormat="1" applyFont="1" applyFill="1" applyBorder="1" applyAlignment="1">
      <alignment vertical="center"/>
    </xf>
    <xf numFmtId="164" fontId="7" fillId="3" borderId="1" xfId="1" applyNumberFormat="1" applyFont="1" applyFill="1" applyBorder="1" applyAlignment="1"/>
    <xf numFmtId="9" fontId="4" fillId="0" borderId="0" xfId="2" applyFont="1" applyBorder="1" applyAlignment="1">
      <alignment horizontal="center"/>
    </xf>
    <xf numFmtId="0" fontId="16" fillId="0" borderId="0" xfId="0" applyFont="1" applyAlignment="1">
      <alignment vertical="center"/>
    </xf>
    <xf numFmtId="165" fontId="6" fillId="11" borderId="1" xfId="2" applyNumberFormat="1" applyFont="1" applyFill="1" applyBorder="1" applyAlignment="1">
      <alignment horizontal="center" wrapText="1"/>
    </xf>
    <xf numFmtId="0" fontId="19" fillId="0" borderId="0" xfId="0" applyFont="1"/>
    <xf numFmtId="0" fontId="18" fillId="0" borderId="0" xfId="0" applyFont="1" applyAlignment="1">
      <alignment horizontal="center"/>
    </xf>
    <xf numFmtId="49" fontId="20" fillId="0" borderId="0" xfId="0" applyNumberFormat="1" applyFont="1" applyAlignment="1">
      <alignment vertical="top"/>
    </xf>
    <xf numFmtId="0" fontId="21" fillId="0" borderId="0" xfId="0" applyFont="1"/>
    <xf numFmtId="0" fontId="5" fillId="0" borderId="0" xfId="0" applyFont="1"/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" fillId="3" borderId="6" xfId="0" applyFont="1" applyFill="1" applyBorder="1"/>
    <xf numFmtId="0" fontId="1" fillId="12" borderId="8" xfId="0" applyFont="1" applyFill="1" applyBorder="1" applyAlignment="1">
      <alignment horizontal="left" indent="1"/>
    </xf>
    <xf numFmtId="0" fontId="1" fillId="13" borderId="8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left" indent="1"/>
    </xf>
    <xf numFmtId="49" fontId="20" fillId="0" borderId="0" xfId="0" applyNumberFormat="1" applyFont="1" applyAlignment="1">
      <alignment horizontal="right" vertical="top"/>
    </xf>
    <xf numFmtId="49" fontId="20" fillId="0" borderId="0" xfId="0" applyNumberFormat="1" applyFont="1" applyAlignment="1">
      <alignment horizontal="left" vertical="top"/>
    </xf>
    <xf numFmtId="0" fontId="19" fillId="0" borderId="0" xfId="0" applyFont="1" applyAlignment="1">
      <alignment vertical="top"/>
    </xf>
    <xf numFmtId="49" fontId="19" fillId="0" borderId="0" xfId="0" applyNumberFormat="1" applyFont="1" applyAlignment="1">
      <alignment vertical="top"/>
    </xf>
    <xf numFmtId="0" fontId="1" fillId="14" borderId="8" xfId="0" applyFont="1" applyFill="1" applyBorder="1" applyAlignment="1">
      <alignment horizontal="left" indent="1"/>
    </xf>
    <xf numFmtId="49" fontId="1" fillId="13" borderId="8" xfId="1" applyNumberFormat="1" applyFont="1" applyFill="1" applyBorder="1"/>
    <xf numFmtId="49" fontId="1" fillId="13" borderId="0" xfId="1" applyNumberFormat="1" applyFont="1" applyFill="1" applyBorder="1"/>
    <xf numFmtId="0" fontId="2" fillId="3" borderId="6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49" fontId="1" fillId="0" borderId="8" xfId="1" applyNumberFormat="1" applyFont="1" applyFill="1" applyBorder="1"/>
    <xf numFmtId="0" fontId="4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0" fillId="0" borderId="0" xfId="0" applyAlignment="1">
      <alignment vertical="center"/>
    </xf>
    <xf numFmtId="49" fontId="1" fillId="0" borderId="0" xfId="1" applyNumberFormat="1" applyFont="1" applyFill="1" applyBorder="1" applyAlignment="1">
      <alignment vertical="center"/>
    </xf>
    <xf numFmtId="49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49" fontId="1" fillId="0" borderId="8" xfId="1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left"/>
    </xf>
    <xf numFmtId="49" fontId="1" fillId="0" borderId="0" xfId="1" applyNumberFormat="1" applyFont="1" applyFill="1" applyBorder="1"/>
    <xf numFmtId="0" fontId="19" fillId="0" borderId="0" xfId="0" applyFont="1" applyAlignment="1">
      <alignment horizontal="center" vertical="top"/>
    </xf>
    <xf numFmtId="49" fontId="20" fillId="0" borderId="0" xfId="0" applyNumberFormat="1" applyFont="1" applyAlignment="1">
      <alignment horizontal="center" vertical="top"/>
    </xf>
    <xf numFmtId="49" fontId="19" fillId="0" borderId="0" xfId="0" applyNumberFormat="1" applyFont="1" applyAlignment="1">
      <alignment horizontal="center" vertical="top"/>
    </xf>
    <xf numFmtId="49" fontId="1" fillId="0" borderId="10" xfId="1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8" xfId="0" applyFont="1" applyBorder="1"/>
    <xf numFmtId="49" fontId="19" fillId="15" borderId="0" xfId="0" applyNumberFormat="1" applyFont="1" applyFill="1" applyAlignment="1">
      <alignment vertical="top"/>
    </xf>
    <xf numFmtId="0" fontId="15" fillId="15" borderId="0" xfId="0" applyFont="1" applyFill="1"/>
    <xf numFmtId="0" fontId="19" fillId="15" borderId="0" xfId="0" applyFont="1" applyFill="1" applyAlignment="1">
      <alignment vertical="top"/>
    </xf>
    <xf numFmtId="49" fontId="19" fillId="15" borderId="0" xfId="0" applyNumberFormat="1" applyFont="1" applyFill="1" applyAlignment="1">
      <alignment horizontal="center" vertical="top"/>
    </xf>
    <xf numFmtId="0" fontId="19" fillId="0" borderId="0" xfId="0" applyFont="1" applyAlignment="1">
      <alignment horizontal="left" vertical="top"/>
    </xf>
    <xf numFmtId="0" fontId="1" fillId="0" borderId="12" xfId="1" applyNumberFormat="1" applyFont="1" applyFill="1" applyBorder="1" applyAlignment="1">
      <alignment vertical="center"/>
    </xf>
    <xf numFmtId="0" fontId="23" fillId="0" borderId="8" xfId="1" applyNumberFormat="1" applyFont="1" applyFill="1" applyBorder="1" applyAlignment="1">
      <alignment vertical="center"/>
    </xf>
    <xf numFmtId="0" fontId="23" fillId="0" borderId="10" xfId="1" applyNumberFormat="1" applyFont="1" applyFill="1" applyBorder="1" applyAlignment="1">
      <alignment vertical="center"/>
    </xf>
    <xf numFmtId="0" fontId="24" fillId="16" borderId="6" xfId="0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2" borderId="0" xfId="0" applyFont="1" applyFill="1" applyAlignment="1">
      <alignment horizontal="left"/>
    </xf>
    <xf numFmtId="0" fontId="6" fillId="10" borderId="3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" fillId="0" borderId="8" xfId="1" applyNumberFormat="1" applyFont="1" applyFill="1" applyBorder="1" applyAlignment="1">
      <alignment vertical="center"/>
    </xf>
  </cellXfs>
  <cellStyles count="4">
    <cellStyle name="Normal" xfId="0" builtinId="0"/>
    <cellStyle name="Normal 2" xfId="3" xr:uid="{00000000-0005-0000-0000-000001000000}"/>
    <cellStyle name="Porcentagem" xfId="2" builtinId="5"/>
    <cellStyle name="Vírgula" xfId="1" builtinId="3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right style="thin">
          <color theme="0"/>
        </right>
      </border>
    </dxf>
    <dxf>
      <alignment vertical="center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6" tint="0.39997558519241921"/>
        </patternFill>
      </fill>
      <alignment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colors>
    <mruColors>
      <color rgb="FF4E35E7"/>
      <color rgb="FF5642E8"/>
      <color rgb="FF9999FF"/>
      <color rgb="FFFFFF99"/>
      <color rgb="FFFFFF66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FLUXO FINANCEIRO MENSAL - 2016</a:t>
            </a:r>
          </a:p>
        </c:rich>
      </c:tx>
      <c:layout>
        <c:manualLayout>
          <c:xMode val="edge"/>
          <c:yMode val="edge"/>
          <c:x val="0.29958528768809634"/>
          <c:y val="4.153700787401581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Grafico_2017!$A$6</c:f>
              <c:strCache>
                <c:ptCount val="1"/>
                <c:pt idx="0">
                  <c:v>Reuniao Aperfeicoamento - Alimentacao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val>
            <c:numRef>
              <c:f>Grafico_2017!$B$6:$M$6</c:f>
              <c:numCache>
                <c:formatCode>#,##0_ ;[Red]\-#,##0\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4-41A4-A218-D4A63BC67B60}"/>
            </c:ext>
          </c:extLst>
        </c:ser>
        <c:ser>
          <c:idx val="1"/>
          <c:order val="1"/>
          <c:tx>
            <c:strRef>
              <c:f>Grafico_2017!$A$7</c:f>
              <c:strCache>
                <c:ptCount val="1"/>
                <c:pt idx="0">
                  <c:v>TOTAL DE COLPORTAGEM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val>
            <c:numRef>
              <c:f>Grafico_2017!$B$7:$M$7</c:f>
              <c:numCache>
                <c:formatCode>#,##0_ ;[Red]\-#,##0\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4-41A4-A218-D4A63BC67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872611808"/>
        <c:axId val="-1872612896"/>
        <c:axId val="0"/>
      </c:bar3DChart>
      <c:catAx>
        <c:axId val="-187261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-1872612896"/>
        <c:crosses val="autoZero"/>
        <c:auto val="1"/>
        <c:lblAlgn val="ctr"/>
        <c:lblOffset val="100"/>
        <c:noMultiLvlLbl val="0"/>
      </c:catAx>
      <c:valAx>
        <c:axId val="-187261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-187261180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825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97" footer="0.3149606200000009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FLUXO FINANCEIRO - 2016</a:t>
            </a:r>
          </a:p>
        </c:rich>
      </c:tx>
      <c:layout>
        <c:manualLayout>
          <c:xMode val="edge"/>
          <c:yMode val="edge"/>
          <c:x val="0.12808104250126673"/>
          <c:y val="4.408027458106199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9DA-4D45-9BF3-0FCBFC349E49}"/>
              </c:ext>
            </c:extLst>
          </c:dPt>
          <c:dLbls>
            <c:dLbl>
              <c:idx val="0"/>
              <c:layout>
                <c:manualLayout>
                  <c:x val="2.8906955736224031E-2"/>
                  <c:y val="-2.46153846153846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DA-4D45-9BF3-0FCBFC349E49}"/>
                </c:ext>
              </c:extLst>
            </c:dLbl>
            <c:dLbl>
              <c:idx val="1"/>
              <c:layout>
                <c:manualLayout>
                  <c:x val="6.1427280939476067E-2"/>
                  <c:y val="-4.92307692307692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DA-4D45-9BF3-0FCBFC349E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Grafico_2017!$N$6:$N$7</c:f>
              <c:strCache>
                <c:ptCount val="2"/>
                <c:pt idx="0">
                  <c:v>Reuniao Aperfeicoamento - Alimentacao</c:v>
                </c:pt>
                <c:pt idx="1">
                  <c:v>TOTAL DE COLPORTAGEM</c:v>
                </c:pt>
              </c:strCache>
            </c:strRef>
          </c:cat>
          <c:val>
            <c:numRef>
              <c:f>Grafico_2017!$O$6:$O$7</c:f>
              <c:numCache>
                <c:formatCode>#,##0_ ;[Red]\-#,##0\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DA-4D45-9BF3-0FCBFC349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872619424"/>
        <c:axId val="-1872618880"/>
        <c:axId val="0"/>
      </c:bar3DChart>
      <c:catAx>
        <c:axId val="-18726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-1872618880"/>
        <c:crosses val="autoZero"/>
        <c:auto val="1"/>
        <c:lblAlgn val="ctr"/>
        <c:lblOffset val="100"/>
        <c:noMultiLvlLbl val="0"/>
      </c:catAx>
      <c:valAx>
        <c:axId val="-187261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-18726194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97" footer="0.3149606200000009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'[2]Relat.Fluxo.Financeiro_2016'!$B$52:$M$52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'[2]Relat.Fluxo.Financeiro_2016'!$B$53:$M$53</c:f>
              <c:numCache>
                <c:formatCode>General</c:formatCode>
                <c:ptCount val="12"/>
                <c:pt idx="0">
                  <c:v>321348.92</c:v>
                </c:pt>
                <c:pt idx="1">
                  <c:v>308682.23999999999</c:v>
                </c:pt>
                <c:pt idx="2">
                  <c:v>287977.45</c:v>
                </c:pt>
                <c:pt idx="3">
                  <c:v>277944.05</c:v>
                </c:pt>
                <c:pt idx="4">
                  <c:v>269486.58999999997</c:v>
                </c:pt>
                <c:pt idx="5">
                  <c:v>210092.61000000002</c:v>
                </c:pt>
                <c:pt idx="6">
                  <c:v>174078.01000000004</c:v>
                </c:pt>
                <c:pt idx="7">
                  <c:v>153951.18000000002</c:v>
                </c:pt>
                <c:pt idx="8">
                  <c:v>152268.91000000003</c:v>
                </c:pt>
                <c:pt idx="9">
                  <c:v>113315.54000000004</c:v>
                </c:pt>
                <c:pt idx="10">
                  <c:v>163617.21</c:v>
                </c:pt>
                <c:pt idx="11">
                  <c:v>117585.38999999996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A-4A20-8089-EC5DE3E0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72615072"/>
        <c:axId val="-1872613984"/>
      </c:lineChart>
      <c:catAx>
        <c:axId val="-187261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872613984"/>
        <c:crosses val="autoZero"/>
        <c:auto val="1"/>
        <c:lblAlgn val="ctr"/>
        <c:lblOffset val="100"/>
        <c:noMultiLvlLbl val="0"/>
      </c:catAx>
      <c:valAx>
        <c:axId val="-18726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87261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A84B-4A31-A742-1EEC0F7DF450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3-A84B-4A31-A742-1EEC0F7DF450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5-A84B-4A31-A742-1EEC0F7DF450}"/>
              </c:ext>
            </c:extLst>
          </c:dPt>
          <c:dLbls>
            <c:dLbl>
              <c:idx val="0"/>
              <c:layout>
                <c:manualLayout>
                  <c:x val="3.4861227452951317E-2"/>
                  <c:y val="-0.43166974735923941"/>
                </c:manualLayout>
              </c:layout>
              <c:spPr/>
              <c:txPr>
                <a:bodyPr/>
                <a:lstStyle/>
                <a:p>
                  <a:pPr>
                    <a:defRPr b="1"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72813238770685"/>
                      <c:h val="0.129725980755049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84B-4A31-A742-1EEC0F7DF450}"/>
                </c:ext>
              </c:extLst>
            </c:dLbl>
            <c:dLbl>
              <c:idx val="1"/>
              <c:layout>
                <c:manualLayout>
                  <c:x val="2.8708133971291867E-2"/>
                  <c:y val="-0.39682539682539686"/>
                </c:manualLayout>
              </c:layout>
              <c:spPr/>
              <c:txPr>
                <a:bodyPr/>
                <a:lstStyle/>
                <a:p>
                  <a:pPr>
                    <a:defRPr b="1"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4B-4A31-A742-1EEC0F7DF450}"/>
                </c:ext>
              </c:extLst>
            </c:dLbl>
            <c:dLbl>
              <c:idx val="2"/>
              <c:layout>
                <c:manualLayout>
                  <c:x val="3.5087719298245612E-2"/>
                  <c:y val="-0.39285714285714285"/>
                </c:manualLayout>
              </c:layout>
              <c:spPr/>
              <c:txPr>
                <a:bodyPr/>
                <a:lstStyle/>
                <a:p>
                  <a:pPr>
                    <a:defRPr b="1"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4B-4A31-A742-1EEC0F7DF45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Graficos_2018!$N$7:$N$9</c:f>
              <c:numCache>
                <c:formatCode>General</c:formatCod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numCache>
            </c:numRef>
          </c:cat>
          <c:val>
            <c:numRef>
              <c:f>Graficos_2018!$O$7:$O$9</c:f>
              <c:numCache>
                <c:formatCode>#,##0_ ;[Red]\-#,##0\ </c:formatCode>
                <c:ptCount val="3"/>
                <c:pt idx="0">
                  <c:v>121861.67</c:v>
                </c:pt>
                <c:pt idx="1">
                  <c:v>120342.12000000001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4B-4A31-A742-1EEC0F7DF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872617248"/>
        <c:axId val="-1872616160"/>
        <c:axId val="0"/>
      </c:bar3DChart>
      <c:catAx>
        <c:axId val="-187261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-1872616160"/>
        <c:crosses val="autoZero"/>
        <c:auto val="1"/>
        <c:lblAlgn val="ctr"/>
        <c:lblOffset val="100"/>
        <c:noMultiLvlLbl val="0"/>
      </c:catAx>
      <c:valAx>
        <c:axId val="-1872616160"/>
        <c:scaling>
          <c:orientation val="minMax"/>
          <c:min val="1000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_ ;[Red]\-#,##0\ " sourceLinked="1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ysClr val="windowText" lastClr="000000"/>
                </a:solidFill>
              </a:defRPr>
            </a:pPr>
            <a:endParaRPr lang="pt-BR"/>
          </a:p>
        </c:txPr>
        <c:crossAx val="-18726172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b="1"/>
          </a:pPr>
          <a:endParaRPr lang="pt-BR"/>
        </a:p>
      </c:txPr>
    </c:legend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Graficos_2018!$A$7</c:f>
              <c:strCache>
                <c:ptCount val="1"/>
                <c:pt idx="0">
                  <c:v>Exercício 2016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Graficos_2018!$B$7:$M$7</c:f>
              <c:numCache>
                <c:formatCode>#,##0_ ;[Red]\-#,##0\ </c:formatCode>
                <c:ptCount val="12"/>
                <c:pt idx="0">
                  <c:v>10300.5</c:v>
                </c:pt>
                <c:pt idx="1">
                  <c:v>7943.01</c:v>
                </c:pt>
                <c:pt idx="2">
                  <c:v>8162.84</c:v>
                </c:pt>
                <c:pt idx="3">
                  <c:v>10559.1</c:v>
                </c:pt>
                <c:pt idx="4">
                  <c:v>10088.619999999999</c:v>
                </c:pt>
                <c:pt idx="5">
                  <c:v>12541.96</c:v>
                </c:pt>
                <c:pt idx="6">
                  <c:v>8374.6899999999987</c:v>
                </c:pt>
                <c:pt idx="7">
                  <c:v>13504.24</c:v>
                </c:pt>
                <c:pt idx="8">
                  <c:v>8174.98</c:v>
                </c:pt>
                <c:pt idx="9">
                  <c:v>10242.120000000003</c:v>
                </c:pt>
                <c:pt idx="10">
                  <c:v>7139.52</c:v>
                </c:pt>
                <c:pt idx="11">
                  <c:v>14830.09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5-4082-BE18-74F60959D832}"/>
            </c:ext>
          </c:extLst>
        </c:ser>
        <c:ser>
          <c:idx val="1"/>
          <c:order val="1"/>
          <c:tx>
            <c:strRef>
              <c:f>Graficos_2018!$A$8</c:f>
              <c:strCache>
                <c:ptCount val="1"/>
                <c:pt idx="0">
                  <c:v>Exercício 2017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Graficos_2018!$B$8:$M$8</c:f>
              <c:numCache>
                <c:formatCode>#,##0_ ;[Red]\-#,##0\ </c:formatCode>
                <c:ptCount val="12"/>
                <c:pt idx="0">
                  <c:v>8139.52</c:v>
                </c:pt>
                <c:pt idx="1">
                  <c:v>7099.3500000000022</c:v>
                </c:pt>
                <c:pt idx="2">
                  <c:v>6257.7099999999991</c:v>
                </c:pt>
                <c:pt idx="3">
                  <c:v>9768.2200000000012</c:v>
                </c:pt>
                <c:pt idx="4">
                  <c:v>11527.519999999997</c:v>
                </c:pt>
                <c:pt idx="5">
                  <c:v>9695.07</c:v>
                </c:pt>
                <c:pt idx="6">
                  <c:v>9554.84</c:v>
                </c:pt>
                <c:pt idx="7">
                  <c:v>25820.119999999995</c:v>
                </c:pt>
                <c:pt idx="8">
                  <c:v>10492.18</c:v>
                </c:pt>
                <c:pt idx="9">
                  <c:v>4588.24</c:v>
                </c:pt>
                <c:pt idx="10">
                  <c:v>10788.24</c:v>
                </c:pt>
                <c:pt idx="11">
                  <c:v>6611.1100000000006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45-4082-BE18-74F60959D832}"/>
            </c:ext>
          </c:extLst>
        </c:ser>
        <c:ser>
          <c:idx val="2"/>
          <c:order val="2"/>
          <c:tx>
            <c:strRef>
              <c:f>Graficos_2018!$A$9</c:f>
              <c:strCache>
                <c:ptCount val="1"/>
                <c:pt idx="0">
                  <c:v>Exercício 2018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Graficos_2018!$B$9:$M$9</c:f>
              <c:numCache>
                <c:formatCode>#,##0_ ;[Red]\-#,##0\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45-4082-BE18-74F60959D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72624864"/>
        <c:axId val="-1872613440"/>
      </c:lineChart>
      <c:catAx>
        <c:axId val="-1872624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872613440"/>
        <c:crosses val="autoZero"/>
        <c:auto val="1"/>
        <c:lblAlgn val="ctr"/>
        <c:lblOffset val="100"/>
        <c:noMultiLvlLbl val="0"/>
      </c:catAx>
      <c:valAx>
        <c:axId val="-187261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87262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85724</xdr:colOff>
      <xdr:row>8</xdr:row>
      <xdr:rowOff>19050</xdr:rowOff>
    </xdr:from>
    <xdr:to>
      <xdr:col>16</xdr:col>
      <xdr:colOff>304799</xdr:colOff>
      <xdr:row>27</xdr:row>
      <xdr:rowOff>38100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371475</xdr:colOff>
      <xdr:row>8</xdr:row>
      <xdr:rowOff>28575</xdr:rowOff>
    </xdr:from>
    <xdr:to>
      <xdr:col>3</xdr:col>
      <xdr:colOff>638175</xdr:colOff>
      <xdr:row>27</xdr:row>
      <xdr:rowOff>47625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56</xdr:row>
      <xdr:rowOff>133350</xdr:rowOff>
    </xdr:from>
    <xdr:to>
      <xdr:col>13</xdr:col>
      <xdr:colOff>57150</xdr:colOff>
      <xdr:row>75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76199</xdr:rowOff>
    </xdr:from>
    <xdr:to>
      <xdr:col>3</xdr:col>
      <xdr:colOff>47625</xdr:colOff>
      <xdr:row>28</xdr:row>
      <xdr:rowOff>104775</xdr:rowOff>
    </xdr:to>
    <xdr:graphicFrame macro="">
      <xdr:nvGraphicFramePr>
        <xdr:cNvPr id="3" name="Gráfico 7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11</xdr:row>
      <xdr:rowOff>57149</xdr:rowOff>
    </xdr:from>
    <xdr:to>
      <xdr:col>15</xdr:col>
      <xdr:colOff>66674</xdr:colOff>
      <xdr:row>28</xdr:row>
      <xdr:rowOff>114299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ires\Google%20Drive\Clientes\1%20-%20IGREJAS\Obra%20Regional\ARQ.FINANC\2017\Movimento%20Financeiro%20Obra%20Regional\Mov.Financeiro_Obra.Regional_2017_Atu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ires\Google%20Drive\Clientes\1%20-%20IGREJAS\Obra%20Regional\ARQ.FINANC\2016\Mov.Financeiro_Obra.Regional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ires\Google%20Drive\Clientes\1%20-%20IGREJAS\Igreja%20em%20Belo%20Horizonte\ARQ.FINANC\2016\Mov.Financeiro%20BH_2016%20(completo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.CONTAS"/>
      <sheetName val="MOV.FINANCEIRO"/>
      <sheetName val="Grafico_2017"/>
      <sheetName val="Fluxo.Detalhado_2016"/>
      <sheetName val="FF_2017"/>
      <sheetName val="FF_2016"/>
      <sheetName val="Evolucao.Disponibilidades"/>
      <sheetName val="Grafico_Entradas.Saidas_2017"/>
      <sheetName val="Entradas_2017"/>
      <sheetName val="Resumo.Entradas_2017.2016"/>
      <sheetName val="Colportagem_2017"/>
      <sheetName val="Comparativo.Colportagem"/>
      <sheetName val="CEAPE_2017"/>
      <sheetName val="Africa.EUA_2017"/>
      <sheetName val="Comparativo.Africa"/>
      <sheetName val="Obreiros.Gastos.Esp_2017"/>
      <sheetName val="Comparativo.Obreiros"/>
      <sheetName val="Despesas.Gerais_2017"/>
      <sheetName val="Comparativo.DespGerais_2017"/>
      <sheetName val="Obrigacoes.Trabalhistas_2017"/>
      <sheetName val="Comparativo.Obrig.Trab"/>
      <sheetName val="Desp.Financ.Trib_2017"/>
      <sheetName val="Comparativo.Desp.Financ.Trib"/>
      <sheetName val="Resumo_FF_2016.2017"/>
      <sheetName val="Graficos_2017"/>
      <sheetName val="OrcadoXRealizado"/>
      <sheetName val="OrcXReal_Colportagem"/>
      <sheetName val="Orc.Real_Desp.Gerais_Trabalhist"/>
      <sheetName val="Orc.Real_Obreiros"/>
      <sheetName val="Orcamento.Mensal_2017"/>
    </sheetNames>
    <sheetDataSet>
      <sheetData sheetId="0"/>
      <sheetData sheetId="1">
        <row r="4">
          <cell r="M4">
            <v>117585.39</v>
          </cell>
          <cell r="AC4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.CONTAS"/>
      <sheetName val="MOV.FINANCEIRO"/>
      <sheetName val="Grafico_2016"/>
      <sheetName val="Fluxo.Detalhado_2016"/>
      <sheetName val="Relat.Fluxo.Financeiro_2016"/>
      <sheetName val="Plan1"/>
      <sheetName val="Entradas_2016"/>
      <sheetName val="Colportagem_2016"/>
      <sheetName val="CEAPE_2016"/>
      <sheetName val="Africa.EUA_2016"/>
      <sheetName val="Obreiros.Gastos.Esp_2016"/>
      <sheetName val="Despesas.Gerais_2016"/>
      <sheetName val="Obrigacoes.Trabalhistas_2016"/>
      <sheetName val="Desp.Financ.Trib_2016"/>
      <sheetName val="Plan2"/>
      <sheetName val="Plan3"/>
    </sheetNames>
    <sheetDataSet>
      <sheetData sheetId="0"/>
      <sheetData sheetId="1">
        <row r="4">
          <cell r="AC4">
            <v>12</v>
          </cell>
        </row>
      </sheetData>
      <sheetData sheetId="2"/>
      <sheetData sheetId="3"/>
      <sheetData sheetId="4">
        <row r="52">
          <cell r="B52" t="str">
            <v>Jan</v>
          </cell>
          <cell r="C52" t="str">
            <v>Fev</v>
          </cell>
          <cell r="D52" t="str">
            <v>Mar</v>
          </cell>
          <cell r="E52" t="str">
            <v>Abr</v>
          </cell>
          <cell r="F52" t="str">
            <v>Mai</v>
          </cell>
          <cell r="G52" t="str">
            <v>Jun</v>
          </cell>
          <cell r="H52" t="str">
            <v>Jul</v>
          </cell>
          <cell r="I52" t="str">
            <v>Ago</v>
          </cell>
          <cell r="J52" t="str">
            <v>Set</v>
          </cell>
          <cell r="K52" t="str">
            <v>Out</v>
          </cell>
          <cell r="L52" t="str">
            <v>Nov</v>
          </cell>
          <cell r="M52" t="str">
            <v>Dez</v>
          </cell>
        </row>
        <row r="53">
          <cell r="B53">
            <v>321348.92</v>
          </cell>
          <cell r="C53">
            <v>308682.23999999999</v>
          </cell>
          <cell r="D53">
            <v>287977.45</v>
          </cell>
          <cell r="E53">
            <v>277944.05</v>
          </cell>
          <cell r="F53">
            <v>269486.58999999997</v>
          </cell>
          <cell r="G53">
            <v>210092.61000000002</v>
          </cell>
          <cell r="H53">
            <v>174078.01000000004</v>
          </cell>
          <cell r="I53">
            <v>153951.18000000002</v>
          </cell>
          <cell r="J53">
            <v>152268.91000000003</v>
          </cell>
          <cell r="K53">
            <v>113315.54000000004</v>
          </cell>
          <cell r="L53">
            <v>163617.21</v>
          </cell>
          <cell r="M53">
            <v>117585.38999999996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.CONTAS"/>
      <sheetName val="MOV.FINANCEIRO"/>
      <sheetName val="Grafico_2016 (%)"/>
      <sheetName val="Fluxo.Financeiro_2016"/>
      <sheetName val="Fluxo.Financeiro_2015"/>
      <sheetName val="Fluxo.Financeiro_2014"/>
      <sheetName val="Acoes.Reducao.Gastos_2017"/>
      <sheetName val="Principais.Investimentos"/>
      <sheetName val="Entradas_2016"/>
      <sheetName val="Desp.Ministeriais_2016"/>
      <sheetName val="Casas.Reuniores_2016"/>
      <sheetName val="Desp.Administrativas_2016"/>
      <sheetName val="Obrigacoes.Trabalhistas_2016"/>
      <sheetName val="Gastos.Relevantes_2016"/>
      <sheetName val="Comparativo.Medias"/>
      <sheetName val="Orcamento_2017"/>
      <sheetName val="Plan2"/>
    </sheetNames>
    <sheetDataSet>
      <sheetData sheetId="0"/>
      <sheetData sheetId="1">
        <row r="4">
          <cell r="AJ4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a4" displayName="Tabela4" ref="A1:G245" totalsRowShown="0" headerRowDxfId="18" dataDxfId="16" headerRowBorderDxfId="17" tableBorderDxfId="15">
  <autoFilter ref="A1:G245" xr:uid="{00000000-0009-0000-0100-000004000000}"/>
  <tableColumns count="7">
    <tableColumn id="8" xr3:uid="{0DA3D04E-49DC-409F-8185-ED852DCF50E3}" name="Descricao da Conta" dataDxfId="14" dataCellStyle="Vírgula">
      <calculatedColumnFormula>IFERROR(INDEX('Plano.Vinculacao_Conta.Azul'!$A$1:$B$168,MATCH(Tabela4[[#This Row],[Cod.Reduzido]],'Plano.Vinculacao_Conta.Azul'!$B$1:$B$168,0),MATCH(A$1,'Plano.Vinculacao_Conta.Azul'!$A$1:$B$1,0)),"")</calculatedColumnFormula>
    </tableColumn>
    <tableColumn id="1" xr3:uid="{00000000-0010-0000-0000-000001000000}" name="Conta" dataDxfId="13" dataCellStyle="Vírgula"/>
    <tableColumn id="2" xr3:uid="{00000000-0010-0000-0000-000002000000}" name="Cod.Reduzido" dataDxfId="12"/>
    <tableColumn id="3" xr3:uid="{00000000-0010-0000-0000-000003000000}" name="Codigo" dataDxfId="11"/>
    <tableColumn id="4" xr3:uid="{00000000-0010-0000-0000-000004000000}" name="Grupo de Contas 1" dataDxfId="10"/>
    <tableColumn id="5" xr3:uid="{00000000-0010-0000-0000-000005000000}" name="Cod Grupo 1" dataDxfId="9"/>
    <tableColumn id="6" xr3:uid="{00000000-0010-0000-0000-000006000000}" name="Grupo de Contas 2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B262" totalsRowShown="0" headerRowDxfId="7" dataDxfId="6">
  <autoFilter ref="A1:B262" xr:uid="{00000000-0009-0000-0100-000002000000}"/>
  <tableColumns count="2">
    <tableColumn id="2" xr3:uid="{00000000-0010-0000-0100-000002000000}" name="Codigo" dataDxfId="5"/>
    <tableColumn id="1" xr3:uid="{00000000-0010-0000-0100-000001000000}" name="FORNECEDORES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3" displayName="Tabela3" ref="A1:B11" totalsRowShown="0" headerRowDxfId="3" dataDxfId="2">
  <autoFilter ref="A1:B11" xr:uid="{00000000-0009-0000-0100-000003000000}"/>
  <sortState xmlns:xlrd2="http://schemas.microsoft.com/office/spreadsheetml/2017/richdata2" ref="A2:B11">
    <sortCondition ref="B2"/>
  </sortState>
  <tableColumns count="2">
    <tableColumn id="2" xr3:uid="{00000000-0010-0000-0200-000002000000}" name="Codigo" dataDxfId="1"/>
    <tableColumn id="1" xr3:uid="{00000000-0010-0000-0200-000001000000}" name="CENTRO DE CUS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N351"/>
  <sheetViews>
    <sheetView workbookViewId="0">
      <pane ySplit="1" topLeftCell="A24" activePane="bottomLeft" state="frozen"/>
      <selection pane="bottomLeft" activeCell="I31" sqref="I31"/>
    </sheetView>
  </sheetViews>
  <sheetFormatPr defaultRowHeight="12" x14ac:dyDescent="0.2"/>
  <cols>
    <col min="1" max="1" width="9.140625" style="33"/>
    <col min="2" max="2" width="5.7109375" style="94" bestFit="1" customWidth="1"/>
    <col min="3" max="3" width="1.85546875" style="33" bestFit="1" customWidth="1"/>
    <col min="4" max="4" width="15.42578125" style="33" customWidth="1"/>
    <col min="5" max="8" width="2.140625" style="33" customWidth="1"/>
    <col min="9" max="9" width="42.42578125" style="33" bestFit="1" customWidth="1"/>
    <col min="10" max="10" width="4.42578125" style="33" bestFit="1" customWidth="1"/>
    <col min="11" max="11" width="23.140625" style="33" bestFit="1" customWidth="1"/>
    <col min="12" max="12" width="23.140625" style="94" customWidth="1"/>
    <col min="13" max="13" width="30.7109375" style="33" bestFit="1" customWidth="1"/>
    <col min="14" max="14" width="42.42578125" style="33" bestFit="1" customWidth="1"/>
    <col min="15" max="245" width="9.140625" style="33"/>
    <col min="246" max="246" width="1.7109375" style="33" customWidth="1"/>
    <col min="247" max="247" width="7.7109375" style="33" customWidth="1"/>
    <col min="248" max="248" width="1.28515625" style="33" customWidth="1"/>
    <col min="249" max="249" width="1" style="33" customWidth="1"/>
    <col min="250" max="250" width="1.5703125" style="33" customWidth="1"/>
    <col min="251" max="251" width="3.140625" style="33" customWidth="1"/>
    <col min="252" max="252" width="1.7109375" style="33" customWidth="1"/>
    <col min="253" max="253" width="15.42578125" style="33" customWidth="1"/>
    <col min="254" max="254" width="2.85546875" style="33" customWidth="1"/>
    <col min="255" max="255" width="12.5703125" style="33" customWidth="1"/>
    <col min="256" max="256" width="1.85546875" style="33" customWidth="1"/>
    <col min="257" max="260" width="2.140625" style="33" customWidth="1"/>
    <col min="261" max="261" width="38.140625" style="33" customWidth="1"/>
    <col min="262" max="262" width="2" style="33" customWidth="1"/>
    <col min="263" max="263" width="1.7109375" style="33" customWidth="1"/>
    <col min="264" max="264" width="1.85546875" style="33" customWidth="1"/>
    <col min="265" max="265" width="6.5703125" style="33" customWidth="1"/>
    <col min="266" max="266" width="1.7109375" style="33" customWidth="1"/>
    <col min="267" max="267" width="1.85546875" style="33" customWidth="1"/>
    <col min="268" max="268" width="8.140625" style="33" customWidth="1"/>
    <col min="269" max="501" width="9.140625" style="33"/>
    <col min="502" max="502" width="1.7109375" style="33" customWidth="1"/>
    <col min="503" max="503" width="7.7109375" style="33" customWidth="1"/>
    <col min="504" max="504" width="1.28515625" style="33" customWidth="1"/>
    <col min="505" max="505" width="1" style="33" customWidth="1"/>
    <col min="506" max="506" width="1.5703125" style="33" customWidth="1"/>
    <col min="507" max="507" width="3.140625" style="33" customWidth="1"/>
    <col min="508" max="508" width="1.7109375" style="33" customWidth="1"/>
    <col min="509" max="509" width="15.42578125" style="33" customWidth="1"/>
    <col min="510" max="510" width="2.85546875" style="33" customWidth="1"/>
    <col min="511" max="511" width="12.5703125" style="33" customWidth="1"/>
    <col min="512" max="512" width="1.85546875" style="33" customWidth="1"/>
    <col min="513" max="516" width="2.140625" style="33" customWidth="1"/>
    <col min="517" max="517" width="38.140625" style="33" customWidth="1"/>
    <col min="518" max="518" width="2" style="33" customWidth="1"/>
    <col min="519" max="519" width="1.7109375" style="33" customWidth="1"/>
    <col min="520" max="520" width="1.85546875" style="33" customWidth="1"/>
    <col min="521" max="521" width="6.5703125" style="33" customWidth="1"/>
    <col min="522" max="522" width="1.7109375" style="33" customWidth="1"/>
    <col min="523" max="523" width="1.85546875" style="33" customWidth="1"/>
    <col min="524" max="524" width="8.140625" style="33" customWidth="1"/>
    <col min="525" max="757" width="9.140625" style="33"/>
    <col min="758" max="758" width="1.7109375" style="33" customWidth="1"/>
    <col min="759" max="759" width="7.7109375" style="33" customWidth="1"/>
    <col min="760" max="760" width="1.28515625" style="33" customWidth="1"/>
    <col min="761" max="761" width="1" style="33" customWidth="1"/>
    <col min="762" max="762" width="1.5703125" style="33" customWidth="1"/>
    <col min="763" max="763" width="3.140625" style="33" customWidth="1"/>
    <col min="764" max="764" width="1.7109375" style="33" customWidth="1"/>
    <col min="765" max="765" width="15.42578125" style="33" customWidth="1"/>
    <col min="766" max="766" width="2.85546875" style="33" customWidth="1"/>
    <col min="767" max="767" width="12.5703125" style="33" customWidth="1"/>
    <col min="768" max="768" width="1.85546875" style="33" customWidth="1"/>
    <col min="769" max="772" width="2.140625" style="33" customWidth="1"/>
    <col min="773" max="773" width="38.140625" style="33" customWidth="1"/>
    <col min="774" max="774" width="2" style="33" customWidth="1"/>
    <col min="775" max="775" width="1.7109375" style="33" customWidth="1"/>
    <col min="776" max="776" width="1.85546875" style="33" customWidth="1"/>
    <col min="777" max="777" width="6.5703125" style="33" customWidth="1"/>
    <col min="778" max="778" width="1.7109375" style="33" customWidth="1"/>
    <col min="779" max="779" width="1.85546875" style="33" customWidth="1"/>
    <col min="780" max="780" width="8.140625" style="33" customWidth="1"/>
    <col min="781" max="1013" width="9.140625" style="33"/>
    <col min="1014" max="1014" width="1.7109375" style="33" customWidth="1"/>
    <col min="1015" max="1015" width="7.7109375" style="33" customWidth="1"/>
    <col min="1016" max="1016" width="1.28515625" style="33" customWidth="1"/>
    <col min="1017" max="1017" width="1" style="33" customWidth="1"/>
    <col min="1018" max="1018" width="1.5703125" style="33" customWidth="1"/>
    <col min="1019" max="1019" width="3.140625" style="33" customWidth="1"/>
    <col min="1020" max="1020" width="1.7109375" style="33" customWidth="1"/>
    <col min="1021" max="1021" width="15.42578125" style="33" customWidth="1"/>
    <col min="1022" max="1022" width="2.85546875" style="33" customWidth="1"/>
    <col min="1023" max="1023" width="12.5703125" style="33" customWidth="1"/>
    <col min="1024" max="1024" width="1.85546875" style="33" customWidth="1"/>
    <col min="1025" max="1028" width="2.140625" style="33" customWidth="1"/>
    <col min="1029" max="1029" width="38.140625" style="33" customWidth="1"/>
    <col min="1030" max="1030" width="2" style="33" customWidth="1"/>
    <col min="1031" max="1031" width="1.7109375" style="33" customWidth="1"/>
    <col min="1032" max="1032" width="1.85546875" style="33" customWidth="1"/>
    <col min="1033" max="1033" width="6.5703125" style="33" customWidth="1"/>
    <col min="1034" max="1034" width="1.7109375" style="33" customWidth="1"/>
    <col min="1035" max="1035" width="1.85546875" style="33" customWidth="1"/>
    <col min="1036" max="1036" width="8.140625" style="33" customWidth="1"/>
    <col min="1037" max="1269" width="9.140625" style="33"/>
    <col min="1270" max="1270" width="1.7109375" style="33" customWidth="1"/>
    <col min="1271" max="1271" width="7.7109375" style="33" customWidth="1"/>
    <col min="1272" max="1272" width="1.28515625" style="33" customWidth="1"/>
    <col min="1273" max="1273" width="1" style="33" customWidth="1"/>
    <col min="1274" max="1274" width="1.5703125" style="33" customWidth="1"/>
    <col min="1275" max="1275" width="3.140625" style="33" customWidth="1"/>
    <col min="1276" max="1276" width="1.7109375" style="33" customWidth="1"/>
    <col min="1277" max="1277" width="15.42578125" style="33" customWidth="1"/>
    <col min="1278" max="1278" width="2.85546875" style="33" customWidth="1"/>
    <col min="1279" max="1279" width="12.5703125" style="33" customWidth="1"/>
    <col min="1280" max="1280" width="1.85546875" style="33" customWidth="1"/>
    <col min="1281" max="1284" width="2.140625" style="33" customWidth="1"/>
    <col min="1285" max="1285" width="38.140625" style="33" customWidth="1"/>
    <col min="1286" max="1286" width="2" style="33" customWidth="1"/>
    <col min="1287" max="1287" width="1.7109375" style="33" customWidth="1"/>
    <col min="1288" max="1288" width="1.85546875" style="33" customWidth="1"/>
    <col min="1289" max="1289" width="6.5703125" style="33" customWidth="1"/>
    <col min="1290" max="1290" width="1.7109375" style="33" customWidth="1"/>
    <col min="1291" max="1291" width="1.85546875" style="33" customWidth="1"/>
    <col min="1292" max="1292" width="8.140625" style="33" customWidth="1"/>
    <col min="1293" max="1525" width="9.140625" style="33"/>
    <col min="1526" max="1526" width="1.7109375" style="33" customWidth="1"/>
    <col min="1527" max="1527" width="7.7109375" style="33" customWidth="1"/>
    <col min="1528" max="1528" width="1.28515625" style="33" customWidth="1"/>
    <col min="1529" max="1529" width="1" style="33" customWidth="1"/>
    <col min="1530" max="1530" width="1.5703125" style="33" customWidth="1"/>
    <col min="1531" max="1531" width="3.140625" style="33" customWidth="1"/>
    <col min="1532" max="1532" width="1.7109375" style="33" customWidth="1"/>
    <col min="1533" max="1533" width="15.42578125" style="33" customWidth="1"/>
    <col min="1534" max="1534" width="2.85546875" style="33" customWidth="1"/>
    <col min="1535" max="1535" width="12.5703125" style="33" customWidth="1"/>
    <col min="1536" max="1536" width="1.85546875" style="33" customWidth="1"/>
    <col min="1537" max="1540" width="2.140625" style="33" customWidth="1"/>
    <col min="1541" max="1541" width="38.140625" style="33" customWidth="1"/>
    <col min="1542" max="1542" width="2" style="33" customWidth="1"/>
    <col min="1543" max="1543" width="1.7109375" style="33" customWidth="1"/>
    <col min="1544" max="1544" width="1.85546875" style="33" customWidth="1"/>
    <col min="1545" max="1545" width="6.5703125" style="33" customWidth="1"/>
    <col min="1546" max="1546" width="1.7109375" style="33" customWidth="1"/>
    <col min="1547" max="1547" width="1.85546875" style="33" customWidth="1"/>
    <col min="1548" max="1548" width="8.140625" style="33" customWidth="1"/>
    <col min="1549" max="1781" width="9.140625" style="33"/>
    <col min="1782" max="1782" width="1.7109375" style="33" customWidth="1"/>
    <col min="1783" max="1783" width="7.7109375" style="33" customWidth="1"/>
    <col min="1784" max="1784" width="1.28515625" style="33" customWidth="1"/>
    <col min="1785" max="1785" width="1" style="33" customWidth="1"/>
    <col min="1786" max="1786" width="1.5703125" style="33" customWidth="1"/>
    <col min="1787" max="1787" width="3.140625" style="33" customWidth="1"/>
    <col min="1788" max="1788" width="1.7109375" style="33" customWidth="1"/>
    <col min="1789" max="1789" width="15.42578125" style="33" customWidth="1"/>
    <col min="1790" max="1790" width="2.85546875" style="33" customWidth="1"/>
    <col min="1791" max="1791" width="12.5703125" style="33" customWidth="1"/>
    <col min="1792" max="1792" width="1.85546875" style="33" customWidth="1"/>
    <col min="1793" max="1796" width="2.140625" style="33" customWidth="1"/>
    <col min="1797" max="1797" width="38.140625" style="33" customWidth="1"/>
    <col min="1798" max="1798" width="2" style="33" customWidth="1"/>
    <col min="1799" max="1799" width="1.7109375" style="33" customWidth="1"/>
    <col min="1800" max="1800" width="1.85546875" style="33" customWidth="1"/>
    <col min="1801" max="1801" width="6.5703125" style="33" customWidth="1"/>
    <col min="1802" max="1802" width="1.7109375" style="33" customWidth="1"/>
    <col min="1803" max="1803" width="1.85546875" style="33" customWidth="1"/>
    <col min="1804" max="1804" width="8.140625" style="33" customWidth="1"/>
    <col min="1805" max="2037" width="9.140625" style="33"/>
    <col min="2038" max="2038" width="1.7109375" style="33" customWidth="1"/>
    <col min="2039" max="2039" width="7.7109375" style="33" customWidth="1"/>
    <col min="2040" max="2040" width="1.28515625" style="33" customWidth="1"/>
    <col min="2041" max="2041" width="1" style="33" customWidth="1"/>
    <col min="2042" max="2042" width="1.5703125" style="33" customWidth="1"/>
    <col min="2043" max="2043" width="3.140625" style="33" customWidth="1"/>
    <col min="2044" max="2044" width="1.7109375" style="33" customWidth="1"/>
    <col min="2045" max="2045" width="15.42578125" style="33" customWidth="1"/>
    <col min="2046" max="2046" width="2.85546875" style="33" customWidth="1"/>
    <col min="2047" max="2047" width="12.5703125" style="33" customWidth="1"/>
    <col min="2048" max="2048" width="1.85546875" style="33" customWidth="1"/>
    <col min="2049" max="2052" width="2.140625" style="33" customWidth="1"/>
    <col min="2053" max="2053" width="38.140625" style="33" customWidth="1"/>
    <col min="2054" max="2054" width="2" style="33" customWidth="1"/>
    <col min="2055" max="2055" width="1.7109375" style="33" customWidth="1"/>
    <col min="2056" max="2056" width="1.85546875" style="33" customWidth="1"/>
    <col min="2057" max="2057" width="6.5703125" style="33" customWidth="1"/>
    <col min="2058" max="2058" width="1.7109375" style="33" customWidth="1"/>
    <col min="2059" max="2059" width="1.85546875" style="33" customWidth="1"/>
    <col min="2060" max="2060" width="8.140625" style="33" customWidth="1"/>
    <col min="2061" max="2293" width="9.140625" style="33"/>
    <col min="2294" max="2294" width="1.7109375" style="33" customWidth="1"/>
    <col min="2295" max="2295" width="7.7109375" style="33" customWidth="1"/>
    <col min="2296" max="2296" width="1.28515625" style="33" customWidth="1"/>
    <col min="2297" max="2297" width="1" style="33" customWidth="1"/>
    <col min="2298" max="2298" width="1.5703125" style="33" customWidth="1"/>
    <col min="2299" max="2299" width="3.140625" style="33" customWidth="1"/>
    <col min="2300" max="2300" width="1.7109375" style="33" customWidth="1"/>
    <col min="2301" max="2301" width="15.42578125" style="33" customWidth="1"/>
    <col min="2302" max="2302" width="2.85546875" style="33" customWidth="1"/>
    <col min="2303" max="2303" width="12.5703125" style="33" customWidth="1"/>
    <col min="2304" max="2304" width="1.85546875" style="33" customWidth="1"/>
    <col min="2305" max="2308" width="2.140625" style="33" customWidth="1"/>
    <col min="2309" max="2309" width="38.140625" style="33" customWidth="1"/>
    <col min="2310" max="2310" width="2" style="33" customWidth="1"/>
    <col min="2311" max="2311" width="1.7109375" style="33" customWidth="1"/>
    <col min="2312" max="2312" width="1.85546875" style="33" customWidth="1"/>
    <col min="2313" max="2313" width="6.5703125" style="33" customWidth="1"/>
    <col min="2314" max="2314" width="1.7109375" style="33" customWidth="1"/>
    <col min="2315" max="2315" width="1.85546875" style="33" customWidth="1"/>
    <col min="2316" max="2316" width="8.140625" style="33" customWidth="1"/>
    <col min="2317" max="2549" width="9.140625" style="33"/>
    <col min="2550" max="2550" width="1.7109375" style="33" customWidth="1"/>
    <col min="2551" max="2551" width="7.7109375" style="33" customWidth="1"/>
    <col min="2552" max="2552" width="1.28515625" style="33" customWidth="1"/>
    <col min="2553" max="2553" width="1" style="33" customWidth="1"/>
    <col min="2554" max="2554" width="1.5703125" style="33" customWidth="1"/>
    <col min="2555" max="2555" width="3.140625" style="33" customWidth="1"/>
    <col min="2556" max="2556" width="1.7109375" style="33" customWidth="1"/>
    <col min="2557" max="2557" width="15.42578125" style="33" customWidth="1"/>
    <col min="2558" max="2558" width="2.85546875" style="33" customWidth="1"/>
    <col min="2559" max="2559" width="12.5703125" style="33" customWidth="1"/>
    <col min="2560" max="2560" width="1.85546875" style="33" customWidth="1"/>
    <col min="2561" max="2564" width="2.140625" style="33" customWidth="1"/>
    <col min="2565" max="2565" width="38.140625" style="33" customWidth="1"/>
    <col min="2566" max="2566" width="2" style="33" customWidth="1"/>
    <col min="2567" max="2567" width="1.7109375" style="33" customWidth="1"/>
    <col min="2568" max="2568" width="1.85546875" style="33" customWidth="1"/>
    <col min="2569" max="2569" width="6.5703125" style="33" customWidth="1"/>
    <col min="2570" max="2570" width="1.7109375" style="33" customWidth="1"/>
    <col min="2571" max="2571" width="1.85546875" style="33" customWidth="1"/>
    <col min="2572" max="2572" width="8.140625" style="33" customWidth="1"/>
    <col min="2573" max="2805" width="9.140625" style="33"/>
    <col min="2806" max="2806" width="1.7109375" style="33" customWidth="1"/>
    <col min="2807" max="2807" width="7.7109375" style="33" customWidth="1"/>
    <col min="2808" max="2808" width="1.28515625" style="33" customWidth="1"/>
    <col min="2809" max="2809" width="1" style="33" customWidth="1"/>
    <col min="2810" max="2810" width="1.5703125" style="33" customWidth="1"/>
    <col min="2811" max="2811" width="3.140625" style="33" customWidth="1"/>
    <col min="2812" max="2812" width="1.7109375" style="33" customWidth="1"/>
    <col min="2813" max="2813" width="15.42578125" style="33" customWidth="1"/>
    <col min="2814" max="2814" width="2.85546875" style="33" customWidth="1"/>
    <col min="2815" max="2815" width="12.5703125" style="33" customWidth="1"/>
    <col min="2816" max="2816" width="1.85546875" style="33" customWidth="1"/>
    <col min="2817" max="2820" width="2.140625" style="33" customWidth="1"/>
    <col min="2821" max="2821" width="38.140625" style="33" customWidth="1"/>
    <col min="2822" max="2822" width="2" style="33" customWidth="1"/>
    <col min="2823" max="2823" width="1.7109375" style="33" customWidth="1"/>
    <col min="2824" max="2824" width="1.85546875" style="33" customWidth="1"/>
    <col min="2825" max="2825" width="6.5703125" style="33" customWidth="1"/>
    <col min="2826" max="2826" width="1.7109375" style="33" customWidth="1"/>
    <col min="2827" max="2827" width="1.85546875" style="33" customWidth="1"/>
    <col min="2828" max="2828" width="8.140625" style="33" customWidth="1"/>
    <col min="2829" max="3061" width="9.140625" style="33"/>
    <col min="3062" max="3062" width="1.7109375" style="33" customWidth="1"/>
    <col min="3063" max="3063" width="7.7109375" style="33" customWidth="1"/>
    <col min="3064" max="3064" width="1.28515625" style="33" customWidth="1"/>
    <col min="3065" max="3065" width="1" style="33" customWidth="1"/>
    <col min="3066" max="3066" width="1.5703125" style="33" customWidth="1"/>
    <col min="3067" max="3067" width="3.140625" style="33" customWidth="1"/>
    <col min="3068" max="3068" width="1.7109375" style="33" customWidth="1"/>
    <col min="3069" max="3069" width="15.42578125" style="33" customWidth="1"/>
    <col min="3070" max="3070" width="2.85546875" style="33" customWidth="1"/>
    <col min="3071" max="3071" width="12.5703125" style="33" customWidth="1"/>
    <col min="3072" max="3072" width="1.85546875" style="33" customWidth="1"/>
    <col min="3073" max="3076" width="2.140625" style="33" customWidth="1"/>
    <col min="3077" max="3077" width="38.140625" style="33" customWidth="1"/>
    <col min="3078" max="3078" width="2" style="33" customWidth="1"/>
    <col min="3079" max="3079" width="1.7109375" style="33" customWidth="1"/>
    <col min="3080" max="3080" width="1.85546875" style="33" customWidth="1"/>
    <col min="3081" max="3081" width="6.5703125" style="33" customWidth="1"/>
    <col min="3082" max="3082" width="1.7109375" style="33" customWidth="1"/>
    <col min="3083" max="3083" width="1.85546875" style="33" customWidth="1"/>
    <col min="3084" max="3084" width="8.140625" style="33" customWidth="1"/>
    <col min="3085" max="3317" width="9.140625" style="33"/>
    <col min="3318" max="3318" width="1.7109375" style="33" customWidth="1"/>
    <col min="3319" max="3319" width="7.7109375" style="33" customWidth="1"/>
    <col min="3320" max="3320" width="1.28515625" style="33" customWidth="1"/>
    <col min="3321" max="3321" width="1" style="33" customWidth="1"/>
    <col min="3322" max="3322" width="1.5703125" style="33" customWidth="1"/>
    <col min="3323" max="3323" width="3.140625" style="33" customWidth="1"/>
    <col min="3324" max="3324" width="1.7109375" style="33" customWidth="1"/>
    <col min="3325" max="3325" width="15.42578125" style="33" customWidth="1"/>
    <col min="3326" max="3326" width="2.85546875" style="33" customWidth="1"/>
    <col min="3327" max="3327" width="12.5703125" style="33" customWidth="1"/>
    <col min="3328" max="3328" width="1.85546875" style="33" customWidth="1"/>
    <col min="3329" max="3332" width="2.140625" style="33" customWidth="1"/>
    <col min="3333" max="3333" width="38.140625" style="33" customWidth="1"/>
    <col min="3334" max="3334" width="2" style="33" customWidth="1"/>
    <col min="3335" max="3335" width="1.7109375" style="33" customWidth="1"/>
    <col min="3336" max="3336" width="1.85546875" style="33" customWidth="1"/>
    <col min="3337" max="3337" width="6.5703125" style="33" customWidth="1"/>
    <col min="3338" max="3338" width="1.7109375" style="33" customWidth="1"/>
    <col min="3339" max="3339" width="1.85546875" style="33" customWidth="1"/>
    <col min="3340" max="3340" width="8.140625" style="33" customWidth="1"/>
    <col min="3341" max="3573" width="9.140625" style="33"/>
    <col min="3574" max="3574" width="1.7109375" style="33" customWidth="1"/>
    <col min="3575" max="3575" width="7.7109375" style="33" customWidth="1"/>
    <col min="3576" max="3576" width="1.28515625" style="33" customWidth="1"/>
    <col min="3577" max="3577" width="1" style="33" customWidth="1"/>
    <col min="3578" max="3578" width="1.5703125" style="33" customWidth="1"/>
    <col min="3579" max="3579" width="3.140625" style="33" customWidth="1"/>
    <col min="3580" max="3580" width="1.7109375" style="33" customWidth="1"/>
    <col min="3581" max="3581" width="15.42578125" style="33" customWidth="1"/>
    <col min="3582" max="3582" width="2.85546875" style="33" customWidth="1"/>
    <col min="3583" max="3583" width="12.5703125" style="33" customWidth="1"/>
    <col min="3584" max="3584" width="1.85546875" style="33" customWidth="1"/>
    <col min="3585" max="3588" width="2.140625" style="33" customWidth="1"/>
    <col min="3589" max="3589" width="38.140625" style="33" customWidth="1"/>
    <col min="3590" max="3590" width="2" style="33" customWidth="1"/>
    <col min="3591" max="3591" width="1.7109375" style="33" customWidth="1"/>
    <col min="3592" max="3592" width="1.85546875" style="33" customWidth="1"/>
    <col min="3593" max="3593" width="6.5703125" style="33" customWidth="1"/>
    <col min="3594" max="3594" width="1.7109375" style="33" customWidth="1"/>
    <col min="3595" max="3595" width="1.85546875" style="33" customWidth="1"/>
    <col min="3596" max="3596" width="8.140625" style="33" customWidth="1"/>
    <col min="3597" max="3829" width="9.140625" style="33"/>
    <col min="3830" max="3830" width="1.7109375" style="33" customWidth="1"/>
    <col min="3831" max="3831" width="7.7109375" style="33" customWidth="1"/>
    <col min="3832" max="3832" width="1.28515625" style="33" customWidth="1"/>
    <col min="3833" max="3833" width="1" style="33" customWidth="1"/>
    <col min="3834" max="3834" width="1.5703125" style="33" customWidth="1"/>
    <col min="3835" max="3835" width="3.140625" style="33" customWidth="1"/>
    <col min="3836" max="3836" width="1.7109375" style="33" customWidth="1"/>
    <col min="3837" max="3837" width="15.42578125" style="33" customWidth="1"/>
    <col min="3838" max="3838" width="2.85546875" style="33" customWidth="1"/>
    <col min="3839" max="3839" width="12.5703125" style="33" customWidth="1"/>
    <col min="3840" max="3840" width="1.85546875" style="33" customWidth="1"/>
    <col min="3841" max="3844" width="2.140625" style="33" customWidth="1"/>
    <col min="3845" max="3845" width="38.140625" style="33" customWidth="1"/>
    <col min="3846" max="3846" width="2" style="33" customWidth="1"/>
    <col min="3847" max="3847" width="1.7109375" style="33" customWidth="1"/>
    <col min="3848" max="3848" width="1.85546875" style="33" customWidth="1"/>
    <col min="3849" max="3849" width="6.5703125" style="33" customWidth="1"/>
    <col min="3850" max="3850" width="1.7109375" style="33" customWidth="1"/>
    <col min="3851" max="3851" width="1.85546875" style="33" customWidth="1"/>
    <col min="3852" max="3852" width="8.140625" style="33" customWidth="1"/>
    <col min="3853" max="4085" width="9.140625" style="33"/>
    <col min="4086" max="4086" width="1.7109375" style="33" customWidth="1"/>
    <col min="4087" max="4087" width="7.7109375" style="33" customWidth="1"/>
    <col min="4088" max="4088" width="1.28515625" style="33" customWidth="1"/>
    <col min="4089" max="4089" width="1" style="33" customWidth="1"/>
    <col min="4090" max="4090" width="1.5703125" style="33" customWidth="1"/>
    <col min="4091" max="4091" width="3.140625" style="33" customWidth="1"/>
    <col min="4092" max="4092" width="1.7109375" style="33" customWidth="1"/>
    <col min="4093" max="4093" width="15.42578125" style="33" customWidth="1"/>
    <col min="4094" max="4094" width="2.85546875" style="33" customWidth="1"/>
    <col min="4095" max="4095" width="12.5703125" style="33" customWidth="1"/>
    <col min="4096" max="4096" width="1.85546875" style="33" customWidth="1"/>
    <col min="4097" max="4100" width="2.140625" style="33" customWidth="1"/>
    <col min="4101" max="4101" width="38.140625" style="33" customWidth="1"/>
    <col min="4102" max="4102" width="2" style="33" customWidth="1"/>
    <col min="4103" max="4103" width="1.7109375" style="33" customWidth="1"/>
    <col min="4104" max="4104" width="1.85546875" style="33" customWidth="1"/>
    <col min="4105" max="4105" width="6.5703125" style="33" customWidth="1"/>
    <col min="4106" max="4106" width="1.7109375" style="33" customWidth="1"/>
    <col min="4107" max="4107" width="1.85546875" style="33" customWidth="1"/>
    <col min="4108" max="4108" width="8.140625" style="33" customWidth="1"/>
    <col min="4109" max="4341" width="9.140625" style="33"/>
    <col min="4342" max="4342" width="1.7109375" style="33" customWidth="1"/>
    <col min="4343" max="4343" width="7.7109375" style="33" customWidth="1"/>
    <col min="4344" max="4344" width="1.28515625" style="33" customWidth="1"/>
    <col min="4345" max="4345" width="1" style="33" customWidth="1"/>
    <col min="4346" max="4346" width="1.5703125" style="33" customWidth="1"/>
    <col min="4347" max="4347" width="3.140625" style="33" customWidth="1"/>
    <col min="4348" max="4348" width="1.7109375" style="33" customWidth="1"/>
    <col min="4349" max="4349" width="15.42578125" style="33" customWidth="1"/>
    <col min="4350" max="4350" width="2.85546875" style="33" customWidth="1"/>
    <col min="4351" max="4351" width="12.5703125" style="33" customWidth="1"/>
    <col min="4352" max="4352" width="1.85546875" style="33" customWidth="1"/>
    <col min="4353" max="4356" width="2.140625" style="33" customWidth="1"/>
    <col min="4357" max="4357" width="38.140625" style="33" customWidth="1"/>
    <col min="4358" max="4358" width="2" style="33" customWidth="1"/>
    <col min="4359" max="4359" width="1.7109375" style="33" customWidth="1"/>
    <col min="4360" max="4360" width="1.85546875" style="33" customWidth="1"/>
    <col min="4361" max="4361" width="6.5703125" style="33" customWidth="1"/>
    <col min="4362" max="4362" width="1.7109375" style="33" customWidth="1"/>
    <col min="4363" max="4363" width="1.85546875" style="33" customWidth="1"/>
    <col min="4364" max="4364" width="8.140625" style="33" customWidth="1"/>
    <col min="4365" max="4597" width="9.140625" style="33"/>
    <col min="4598" max="4598" width="1.7109375" style="33" customWidth="1"/>
    <col min="4599" max="4599" width="7.7109375" style="33" customWidth="1"/>
    <col min="4600" max="4600" width="1.28515625" style="33" customWidth="1"/>
    <col min="4601" max="4601" width="1" style="33" customWidth="1"/>
    <col min="4602" max="4602" width="1.5703125" style="33" customWidth="1"/>
    <col min="4603" max="4603" width="3.140625" style="33" customWidth="1"/>
    <col min="4604" max="4604" width="1.7109375" style="33" customWidth="1"/>
    <col min="4605" max="4605" width="15.42578125" style="33" customWidth="1"/>
    <col min="4606" max="4606" width="2.85546875" style="33" customWidth="1"/>
    <col min="4607" max="4607" width="12.5703125" style="33" customWidth="1"/>
    <col min="4608" max="4608" width="1.85546875" style="33" customWidth="1"/>
    <col min="4609" max="4612" width="2.140625" style="33" customWidth="1"/>
    <col min="4613" max="4613" width="38.140625" style="33" customWidth="1"/>
    <col min="4614" max="4614" width="2" style="33" customWidth="1"/>
    <col min="4615" max="4615" width="1.7109375" style="33" customWidth="1"/>
    <col min="4616" max="4616" width="1.85546875" style="33" customWidth="1"/>
    <col min="4617" max="4617" width="6.5703125" style="33" customWidth="1"/>
    <col min="4618" max="4618" width="1.7109375" style="33" customWidth="1"/>
    <col min="4619" max="4619" width="1.85546875" style="33" customWidth="1"/>
    <col min="4620" max="4620" width="8.140625" style="33" customWidth="1"/>
    <col min="4621" max="4853" width="9.140625" style="33"/>
    <col min="4854" max="4854" width="1.7109375" style="33" customWidth="1"/>
    <col min="4855" max="4855" width="7.7109375" style="33" customWidth="1"/>
    <col min="4856" max="4856" width="1.28515625" style="33" customWidth="1"/>
    <col min="4857" max="4857" width="1" style="33" customWidth="1"/>
    <col min="4858" max="4858" width="1.5703125" style="33" customWidth="1"/>
    <col min="4859" max="4859" width="3.140625" style="33" customWidth="1"/>
    <col min="4860" max="4860" width="1.7109375" style="33" customWidth="1"/>
    <col min="4861" max="4861" width="15.42578125" style="33" customWidth="1"/>
    <col min="4862" max="4862" width="2.85546875" style="33" customWidth="1"/>
    <col min="4863" max="4863" width="12.5703125" style="33" customWidth="1"/>
    <col min="4864" max="4864" width="1.85546875" style="33" customWidth="1"/>
    <col min="4865" max="4868" width="2.140625" style="33" customWidth="1"/>
    <col min="4869" max="4869" width="38.140625" style="33" customWidth="1"/>
    <col min="4870" max="4870" width="2" style="33" customWidth="1"/>
    <col min="4871" max="4871" width="1.7109375" style="33" customWidth="1"/>
    <col min="4872" max="4872" width="1.85546875" style="33" customWidth="1"/>
    <col min="4873" max="4873" width="6.5703125" style="33" customWidth="1"/>
    <col min="4874" max="4874" width="1.7109375" style="33" customWidth="1"/>
    <col min="4875" max="4875" width="1.85546875" style="33" customWidth="1"/>
    <col min="4876" max="4876" width="8.140625" style="33" customWidth="1"/>
    <col min="4877" max="5109" width="9.140625" style="33"/>
    <col min="5110" max="5110" width="1.7109375" style="33" customWidth="1"/>
    <col min="5111" max="5111" width="7.7109375" style="33" customWidth="1"/>
    <col min="5112" max="5112" width="1.28515625" style="33" customWidth="1"/>
    <col min="5113" max="5113" width="1" style="33" customWidth="1"/>
    <col min="5114" max="5114" width="1.5703125" style="33" customWidth="1"/>
    <col min="5115" max="5115" width="3.140625" style="33" customWidth="1"/>
    <col min="5116" max="5116" width="1.7109375" style="33" customWidth="1"/>
    <col min="5117" max="5117" width="15.42578125" style="33" customWidth="1"/>
    <col min="5118" max="5118" width="2.85546875" style="33" customWidth="1"/>
    <col min="5119" max="5119" width="12.5703125" style="33" customWidth="1"/>
    <col min="5120" max="5120" width="1.85546875" style="33" customWidth="1"/>
    <col min="5121" max="5124" width="2.140625" style="33" customWidth="1"/>
    <col min="5125" max="5125" width="38.140625" style="33" customWidth="1"/>
    <col min="5126" max="5126" width="2" style="33" customWidth="1"/>
    <col min="5127" max="5127" width="1.7109375" style="33" customWidth="1"/>
    <col min="5128" max="5128" width="1.85546875" style="33" customWidth="1"/>
    <col min="5129" max="5129" width="6.5703125" style="33" customWidth="1"/>
    <col min="5130" max="5130" width="1.7109375" style="33" customWidth="1"/>
    <col min="5131" max="5131" width="1.85546875" style="33" customWidth="1"/>
    <col min="5132" max="5132" width="8.140625" style="33" customWidth="1"/>
    <col min="5133" max="5365" width="9.140625" style="33"/>
    <col min="5366" max="5366" width="1.7109375" style="33" customWidth="1"/>
    <col min="5367" max="5367" width="7.7109375" style="33" customWidth="1"/>
    <col min="5368" max="5368" width="1.28515625" style="33" customWidth="1"/>
    <col min="5369" max="5369" width="1" style="33" customWidth="1"/>
    <col min="5370" max="5370" width="1.5703125" style="33" customWidth="1"/>
    <col min="5371" max="5371" width="3.140625" style="33" customWidth="1"/>
    <col min="5372" max="5372" width="1.7109375" style="33" customWidth="1"/>
    <col min="5373" max="5373" width="15.42578125" style="33" customWidth="1"/>
    <col min="5374" max="5374" width="2.85546875" style="33" customWidth="1"/>
    <col min="5375" max="5375" width="12.5703125" style="33" customWidth="1"/>
    <col min="5376" max="5376" width="1.85546875" style="33" customWidth="1"/>
    <col min="5377" max="5380" width="2.140625" style="33" customWidth="1"/>
    <col min="5381" max="5381" width="38.140625" style="33" customWidth="1"/>
    <col min="5382" max="5382" width="2" style="33" customWidth="1"/>
    <col min="5383" max="5383" width="1.7109375" style="33" customWidth="1"/>
    <col min="5384" max="5384" width="1.85546875" style="33" customWidth="1"/>
    <col min="5385" max="5385" width="6.5703125" style="33" customWidth="1"/>
    <col min="5386" max="5386" width="1.7109375" style="33" customWidth="1"/>
    <col min="5387" max="5387" width="1.85546875" style="33" customWidth="1"/>
    <col min="5388" max="5388" width="8.140625" style="33" customWidth="1"/>
    <col min="5389" max="5621" width="9.140625" style="33"/>
    <col min="5622" max="5622" width="1.7109375" style="33" customWidth="1"/>
    <col min="5623" max="5623" width="7.7109375" style="33" customWidth="1"/>
    <col min="5624" max="5624" width="1.28515625" style="33" customWidth="1"/>
    <col min="5625" max="5625" width="1" style="33" customWidth="1"/>
    <col min="5626" max="5626" width="1.5703125" style="33" customWidth="1"/>
    <col min="5627" max="5627" width="3.140625" style="33" customWidth="1"/>
    <col min="5628" max="5628" width="1.7109375" style="33" customWidth="1"/>
    <col min="5629" max="5629" width="15.42578125" style="33" customWidth="1"/>
    <col min="5630" max="5630" width="2.85546875" style="33" customWidth="1"/>
    <col min="5631" max="5631" width="12.5703125" style="33" customWidth="1"/>
    <col min="5632" max="5632" width="1.85546875" style="33" customWidth="1"/>
    <col min="5633" max="5636" width="2.140625" style="33" customWidth="1"/>
    <col min="5637" max="5637" width="38.140625" style="33" customWidth="1"/>
    <col min="5638" max="5638" width="2" style="33" customWidth="1"/>
    <col min="5639" max="5639" width="1.7109375" style="33" customWidth="1"/>
    <col min="5640" max="5640" width="1.85546875" style="33" customWidth="1"/>
    <col min="5641" max="5641" width="6.5703125" style="33" customWidth="1"/>
    <col min="5642" max="5642" width="1.7109375" style="33" customWidth="1"/>
    <col min="5643" max="5643" width="1.85546875" style="33" customWidth="1"/>
    <col min="5644" max="5644" width="8.140625" style="33" customWidth="1"/>
    <col min="5645" max="5877" width="9.140625" style="33"/>
    <col min="5878" max="5878" width="1.7109375" style="33" customWidth="1"/>
    <col min="5879" max="5879" width="7.7109375" style="33" customWidth="1"/>
    <col min="5880" max="5880" width="1.28515625" style="33" customWidth="1"/>
    <col min="5881" max="5881" width="1" style="33" customWidth="1"/>
    <col min="5882" max="5882" width="1.5703125" style="33" customWidth="1"/>
    <col min="5883" max="5883" width="3.140625" style="33" customWidth="1"/>
    <col min="5884" max="5884" width="1.7109375" style="33" customWidth="1"/>
    <col min="5885" max="5885" width="15.42578125" style="33" customWidth="1"/>
    <col min="5886" max="5886" width="2.85546875" style="33" customWidth="1"/>
    <col min="5887" max="5887" width="12.5703125" style="33" customWidth="1"/>
    <col min="5888" max="5888" width="1.85546875" style="33" customWidth="1"/>
    <col min="5889" max="5892" width="2.140625" style="33" customWidth="1"/>
    <col min="5893" max="5893" width="38.140625" style="33" customWidth="1"/>
    <col min="5894" max="5894" width="2" style="33" customWidth="1"/>
    <col min="5895" max="5895" width="1.7109375" style="33" customWidth="1"/>
    <col min="5896" max="5896" width="1.85546875" style="33" customWidth="1"/>
    <col min="5897" max="5897" width="6.5703125" style="33" customWidth="1"/>
    <col min="5898" max="5898" width="1.7109375" style="33" customWidth="1"/>
    <col min="5899" max="5899" width="1.85546875" style="33" customWidth="1"/>
    <col min="5900" max="5900" width="8.140625" style="33" customWidth="1"/>
    <col min="5901" max="6133" width="9.140625" style="33"/>
    <col min="6134" max="6134" width="1.7109375" style="33" customWidth="1"/>
    <col min="6135" max="6135" width="7.7109375" style="33" customWidth="1"/>
    <col min="6136" max="6136" width="1.28515625" style="33" customWidth="1"/>
    <col min="6137" max="6137" width="1" style="33" customWidth="1"/>
    <col min="6138" max="6138" width="1.5703125" style="33" customWidth="1"/>
    <col min="6139" max="6139" width="3.140625" style="33" customWidth="1"/>
    <col min="6140" max="6140" width="1.7109375" style="33" customWidth="1"/>
    <col min="6141" max="6141" width="15.42578125" style="33" customWidth="1"/>
    <col min="6142" max="6142" width="2.85546875" style="33" customWidth="1"/>
    <col min="6143" max="6143" width="12.5703125" style="33" customWidth="1"/>
    <col min="6144" max="6144" width="1.85546875" style="33" customWidth="1"/>
    <col min="6145" max="6148" width="2.140625" style="33" customWidth="1"/>
    <col min="6149" max="6149" width="38.140625" style="33" customWidth="1"/>
    <col min="6150" max="6150" width="2" style="33" customWidth="1"/>
    <col min="6151" max="6151" width="1.7109375" style="33" customWidth="1"/>
    <col min="6152" max="6152" width="1.85546875" style="33" customWidth="1"/>
    <col min="6153" max="6153" width="6.5703125" style="33" customWidth="1"/>
    <col min="6154" max="6154" width="1.7109375" style="33" customWidth="1"/>
    <col min="6155" max="6155" width="1.85546875" style="33" customWidth="1"/>
    <col min="6156" max="6156" width="8.140625" style="33" customWidth="1"/>
    <col min="6157" max="6389" width="9.140625" style="33"/>
    <col min="6390" max="6390" width="1.7109375" style="33" customWidth="1"/>
    <col min="6391" max="6391" width="7.7109375" style="33" customWidth="1"/>
    <col min="6392" max="6392" width="1.28515625" style="33" customWidth="1"/>
    <col min="6393" max="6393" width="1" style="33" customWidth="1"/>
    <col min="6394" max="6394" width="1.5703125" style="33" customWidth="1"/>
    <col min="6395" max="6395" width="3.140625" style="33" customWidth="1"/>
    <col min="6396" max="6396" width="1.7109375" style="33" customWidth="1"/>
    <col min="6397" max="6397" width="15.42578125" style="33" customWidth="1"/>
    <col min="6398" max="6398" width="2.85546875" style="33" customWidth="1"/>
    <col min="6399" max="6399" width="12.5703125" style="33" customWidth="1"/>
    <col min="6400" max="6400" width="1.85546875" style="33" customWidth="1"/>
    <col min="6401" max="6404" width="2.140625" style="33" customWidth="1"/>
    <col min="6405" max="6405" width="38.140625" style="33" customWidth="1"/>
    <col min="6406" max="6406" width="2" style="33" customWidth="1"/>
    <col min="6407" max="6407" width="1.7109375" style="33" customWidth="1"/>
    <col min="6408" max="6408" width="1.85546875" style="33" customWidth="1"/>
    <col min="6409" max="6409" width="6.5703125" style="33" customWidth="1"/>
    <col min="6410" max="6410" width="1.7109375" style="33" customWidth="1"/>
    <col min="6411" max="6411" width="1.85546875" style="33" customWidth="1"/>
    <col min="6412" max="6412" width="8.140625" style="33" customWidth="1"/>
    <col min="6413" max="6645" width="9.140625" style="33"/>
    <col min="6646" max="6646" width="1.7109375" style="33" customWidth="1"/>
    <col min="6647" max="6647" width="7.7109375" style="33" customWidth="1"/>
    <col min="6648" max="6648" width="1.28515625" style="33" customWidth="1"/>
    <col min="6649" max="6649" width="1" style="33" customWidth="1"/>
    <col min="6650" max="6650" width="1.5703125" style="33" customWidth="1"/>
    <col min="6651" max="6651" width="3.140625" style="33" customWidth="1"/>
    <col min="6652" max="6652" width="1.7109375" style="33" customWidth="1"/>
    <col min="6653" max="6653" width="15.42578125" style="33" customWidth="1"/>
    <col min="6654" max="6654" width="2.85546875" style="33" customWidth="1"/>
    <col min="6655" max="6655" width="12.5703125" style="33" customWidth="1"/>
    <col min="6656" max="6656" width="1.85546875" style="33" customWidth="1"/>
    <col min="6657" max="6660" width="2.140625" style="33" customWidth="1"/>
    <col min="6661" max="6661" width="38.140625" style="33" customWidth="1"/>
    <col min="6662" max="6662" width="2" style="33" customWidth="1"/>
    <col min="6663" max="6663" width="1.7109375" style="33" customWidth="1"/>
    <col min="6664" max="6664" width="1.85546875" style="33" customWidth="1"/>
    <col min="6665" max="6665" width="6.5703125" style="33" customWidth="1"/>
    <col min="6666" max="6666" width="1.7109375" style="33" customWidth="1"/>
    <col min="6667" max="6667" width="1.85546875" style="33" customWidth="1"/>
    <col min="6668" max="6668" width="8.140625" style="33" customWidth="1"/>
    <col min="6669" max="6901" width="9.140625" style="33"/>
    <col min="6902" max="6902" width="1.7109375" style="33" customWidth="1"/>
    <col min="6903" max="6903" width="7.7109375" style="33" customWidth="1"/>
    <col min="6904" max="6904" width="1.28515625" style="33" customWidth="1"/>
    <col min="6905" max="6905" width="1" style="33" customWidth="1"/>
    <col min="6906" max="6906" width="1.5703125" style="33" customWidth="1"/>
    <col min="6907" max="6907" width="3.140625" style="33" customWidth="1"/>
    <col min="6908" max="6908" width="1.7109375" style="33" customWidth="1"/>
    <col min="6909" max="6909" width="15.42578125" style="33" customWidth="1"/>
    <col min="6910" max="6910" width="2.85546875" style="33" customWidth="1"/>
    <col min="6911" max="6911" width="12.5703125" style="33" customWidth="1"/>
    <col min="6912" max="6912" width="1.85546875" style="33" customWidth="1"/>
    <col min="6913" max="6916" width="2.140625" style="33" customWidth="1"/>
    <col min="6917" max="6917" width="38.140625" style="33" customWidth="1"/>
    <col min="6918" max="6918" width="2" style="33" customWidth="1"/>
    <col min="6919" max="6919" width="1.7109375" style="33" customWidth="1"/>
    <col min="6920" max="6920" width="1.85546875" style="33" customWidth="1"/>
    <col min="6921" max="6921" width="6.5703125" style="33" customWidth="1"/>
    <col min="6922" max="6922" width="1.7109375" style="33" customWidth="1"/>
    <col min="6923" max="6923" width="1.85546875" style="33" customWidth="1"/>
    <col min="6924" max="6924" width="8.140625" style="33" customWidth="1"/>
    <col min="6925" max="7157" width="9.140625" style="33"/>
    <col min="7158" max="7158" width="1.7109375" style="33" customWidth="1"/>
    <col min="7159" max="7159" width="7.7109375" style="33" customWidth="1"/>
    <col min="7160" max="7160" width="1.28515625" style="33" customWidth="1"/>
    <col min="7161" max="7161" width="1" style="33" customWidth="1"/>
    <col min="7162" max="7162" width="1.5703125" style="33" customWidth="1"/>
    <col min="7163" max="7163" width="3.140625" style="33" customWidth="1"/>
    <col min="7164" max="7164" width="1.7109375" style="33" customWidth="1"/>
    <col min="7165" max="7165" width="15.42578125" style="33" customWidth="1"/>
    <col min="7166" max="7166" width="2.85546875" style="33" customWidth="1"/>
    <col min="7167" max="7167" width="12.5703125" style="33" customWidth="1"/>
    <col min="7168" max="7168" width="1.85546875" style="33" customWidth="1"/>
    <col min="7169" max="7172" width="2.140625" style="33" customWidth="1"/>
    <col min="7173" max="7173" width="38.140625" style="33" customWidth="1"/>
    <col min="7174" max="7174" width="2" style="33" customWidth="1"/>
    <col min="7175" max="7175" width="1.7109375" style="33" customWidth="1"/>
    <col min="7176" max="7176" width="1.85546875" style="33" customWidth="1"/>
    <col min="7177" max="7177" width="6.5703125" style="33" customWidth="1"/>
    <col min="7178" max="7178" width="1.7109375" style="33" customWidth="1"/>
    <col min="7179" max="7179" width="1.85546875" style="33" customWidth="1"/>
    <col min="7180" max="7180" width="8.140625" style="33" customWidth="1"/>
    <col min="7181" max="7413" width="9.140625" style="33"/>
    <col min="7414" max="7414" width="1.7109375" style="33" customWidth="1"/>
    <col min="7415" max="7415" width="7.7109375" style="33" customWidth="1"/>
    <col min="7416" max="7416" width="1.28515625" style="33" customWidth="1"/>
    <col min="7417" max="7417" width="1" style="33" customWidth="1"/>
    <col min="7418" max="7418" width="1.5703125" style="33" customWidth="1"/>
    <col min="7419" max="7419" width="3.140625" style="33" customWidth="1"/>
    <col min="7420" max="7420" width="1.7109375" style="33" customWidth="1"/>
    <col min="7421" max="7421" width="15.42578125" style="33" customWidth="1"/>
    <col min="7422" max="7422" width="2.85546875" style="33" customWidth="1"/>
    <col min="7423" max="7423" width="12.5703125" style="33" customWidth="1"/>
    <col min="7424" max="7424" width="1.85546875" style="33" customWidth="1"/>
    <col min="7425" max="7428" width="2.140625" style="33" customWidth="1"/>
    <col min="7429" max="7429" width="38.140625" style="33" customWidth="1"/>
    <col min="7430" max="7430" width="2" style="33" customWidth="1"/>
    <col min="7431" max="7431" width="1.7109375" style="33" customWidth="1"/>
    <col min="7432" max="7432" width="1.85546875" style="33" customWidth="1"/>
    <col min="7433" max="7433" width="6.5703125" style="33" customWidth="1"/>
    <col min="7434" max="7434" width="1.7109375" style="33" customWidth="1"/>
    <col min="7435" max="7435" width="1.85546875" style="33" customWidth="1"/>
    <col min="7436" max="7436" width="8.140625" style="33" customWidth="1"/>
    <col min="7437" max="7669" width="9.140625" style="33"/>
    <col min="7670" max="7670" width="1.7109375" style="33" customWidth="1"/>
    <col min="7671" max="7671" width="7.7109375" style="33" customWidth="1"/>
    <col min="7672" max="7672" width="1.28515625" style="33" customWidth="1"/>
    <col min="7673" max="7673" width="1" style="33" customWidth="1"/>
    <col min="7674" max="7674" width="1.5703125" style="33" customWidth="1"/>
    <col min="7675" max="7675" width="3.140625" style="33" customWidth="1"/>
    <col min="7676" max="7676" width="1.7109375" style="33" customWidth="1"/>
    <col min="7677" max="7677" width="15.42578125" style="33" customWidth="1"/>
    <col min="7678" max="7678" width="2.85546875" style="33" customWidth="1"/>
    <col min="7679" max="7679" width="12.5703125" style="33" customWidth="1"/>
    <col min="7680" max="7680" width="1.85546875" style="33" customWidth="1"/>
    <col min="7681" max="7684" width="2.140625" style="33" customWidth="1"/>
    <col min="7685" max="7685" width="38.140625" style="33" customWidth="1"/>
    <col min="7686" max="7686" width="2" style="33" customWidth="1"/>
    <col min="7687" max="7687" width="1.7109375" style="33" customWidth="1"/>
    <col min="7688" max="7688" width="1.85546875" style="33" customWidth="1"/>
    <col min="7689" max="7689" width="6.5703125" style="33" customWidth="1"/>
    <col min="7690" max="7690" width="1.7109375" style="33" customWidth="1"/>
    <col min="7691" max="7691" width="1.85546875" style="33" customWidth="1"/>
    <col min="7692" max="7692" width="8.140625" style="33" customWidth="1"/>
    <col min="7693" max="7925" width="9.140625" style="33"/>
    <col min="7926" max="7926" width="1.7109375" style="33" customWidth="1"/>
    <col min="7927" max="7927" width="7.7109375" style="33" customWidth="1"/>
    <col min="7928" max="7928" width="1.28515625" style="33" customWidth="1"/>
    <col min="7929" max="7929" width="1" style="33" customWidth="1"/>
    <col min="7930" max="7930" width="1.5703125" style="33" customWidth="1"/>
    <col min="7931" max="7931" width="3.140625" style="33" customWidth="1"/>
    <col min="7932" max="7932" width="1.7109375" style="33" customWidth="1"/>
    <col min="7933" max="7933" width="15.42578125" style="33" customWidth="1"/>
    <col min="7934" max="7934" width="2.85546875" style="33" customWidth="1"/>
    <col min="7935" max="7935" width="12.5703125" style="33" customWidth="1"/>
    <col min="7936" max="7936" width="1.85546875" style="33" customWidth="1"/>
    <col min="7937" max="7940" width="2.140625" style="33" customWidth="1"/>
    <col min="7941" max="7941" width="38.140625" style="33" customWidth="1"/>
    <col min="7942" max="7942" width="2" style="33" customWidth="1"/>
    <col min="7943" max="7943" width="1.7109375" style="33" customWidth="1"/>
    <col min="7944" max="7944" width="1.85546875" style="33" customWidth="1"/>
    <col min="7945" max="7945" width="6.5703125" style="33" customWidth="1"/>
    <col min="7946" max="7946" width="1.7109375" style="33" customWidth="1"/>
    <col min="7947" max="7947" width="1.85546875" style="33" customWidth="1"/>
    <col min="7948" max="7948" width="8.140625" style="33" customWidth="1"/>
    <col min="7949" max="8181" width="9.140625" style="33"/>
    <col min="8182" max="8182" width="1.7109375" style="33" customWidth="1"/>
    <col min="8183" max="8183" width="7.7109375" style="33" customWidth="1"/>
    <col min="8184" max="8184" width="1.28515625" style="33" customWidth="1"/>
    <col min="8185" max="8185" width="1" style="33" customWidth="1"/>
    <col min="8186" max="8186" width="1.5703125" style="33" customWidth="1"/>
    <col min="8187" max="8187" width="3.140625" style="33" customWidth="1"/>
    <col min="8188" max="8188" width="1.7109375" style="33" customWidth="1"/>
    <col min="8189" max="8189" width="15.42578125" style="33" customWidth="1"/>
    <col min="8190" max="8190" width="2.85546875" style="33" customWidth="1"/>
    <col min="8191" max="8191" width="12.5703125" style="33" customWidth="1"/>
    <col min="8192" max="8192" width="1.85546875" style="33" customWidth="1"/>
    <col min="8193" max="8196" width="2.140625" style="33" customWidth="1"/>
    <col min="8197" max="8197" width="38.140625" style="33" customWidth="1"/>
    <col min="8198" max="8198" width="2" style="33" customWidth="1"/>
    <col min="8199" max="8199" width="1.7109375" style="33" customWidth="1"/>
    <col min="8200" max="8200" width="1.85546875" style="33" customWidth="1"/>
    <col min="8201" max="8201" width="6.5703125" style="33" customWidth="1"/>
    <col min="8202" max="8202" width="1.7109375" style="33" customWidth="1"/>
    <col min="8203" max="8203" width="1.85546875" style="33" customWidth="1"/>
    <col min="8204" max="8204" width="8.140625" style="33" customWidth="1"/>
    <col min="8205" max="8437" width="9.140625" style="33"/>
    <col min="8438" max="8438" width="1.7109375" style="33" customWidth="1"/>
    <col min="8439" max="8439" width="7.7109375" style="33" customWidth="1"/>
    <col min="8440" max="8440" width="1.28515625" style="33" customWidth="1"/>
    <col min="8441" max="8441" width="1" style="33" customWidth="1"/>
    <col min="8442" max="8442" width="1.5703125" style="33" customWidth="1"/>
    <col min="8443" max="8443" width="3.140625" style="33" customWidth="1"/>
    <col min="8444" max="8444" width="1.7109375" style="33" customWidth="1"/>
    <col min="8445" max="8445" width="15.42578125" style="33" customWidth="1"/>
    <col min="8446" max="8446" width="2.85546875" style="33" customWidth="1"/>
    <col min="8447" max="8447" width="12.5703125" style="33" customWidth="1"/>
    <col min="8448" max="8448" width="1.85546875" style="33" customWidth="1"/>
    <col min="8449" max="8452" width="2.140625" style="33" customWidth="1"/>
    <col min="8453" max="8453" width="38.140625" style="33" customWidth="1"/>
    <col min="8454" max="8454" width="2" style="33" customWidth="1"/>
    <col min="8455" max="8455" width="1.7109375" style="33" customWidth="1"/>
    <col min="8456" max="8456" width="1.85546875" style="33" customWidth="1"/>
    <col min="8457" max="8457" width="6.5703125" style="33" customWidth="1"/>
    <col min="8458" max="8458" width="1.7109375" style="33" customWidth="1"/>
    <col min="8459" max="8459" width="1.85546875" style="33" customWidth="1"/>
    <col min="8460" max="8460" width="8.140625" style="33" customWidth="1"/>
    <col min="8461" max="8693" width="9.140625" style="33"/>
    <col min="8694" max="8694" width="1.7109375" style="33" customWidth="1"/>
    <col min="8695" max="8695" width="7.7109375" style="33" customWidth="1"/>
    <col min="8696" max="8696" width="1.28515625" style="33" customWidth="1"/>
    <col min="8697" max="8697" width="1" style="33" customWidth="1"/>
    <col min="8698" max="8698" width="1.5703125" style="33" customWidth="1"/>
    <col min="8699" max="8699" width="3.140625" style="33" customWidth="1"/>
    <col min="8700" max="8700" width="1.7109375" style="33" customWidth="1"/>
    <col min="8701" max="8701" width="15.42578125" style="33" customWidth="1"/>
    <col min="8702" max="8702" width="2.85546875" style="33" customWidth="1"/>
    <col min="8703" max="8703" width="12.5703125" style="33" customWidth="1"/>
    <col min="8704" max="8704" width="1.85546875" style="33" customWidth="1"/>
    <col min="8705" max="8708" width="2.140625" style="33" customWidth="1"/>
    <col min="8709" max="8709" width="38.140625" style="33" customWidth="1"/>
    <col min="8710" max="8710" width="2" style="33" customWidth="1"/>
    <col min="8711" max="8711" width="1.7109375" style="33" customWidth="1"/>
    <col min="8712" max="8712" width="1.85546875" style="33" customWidth="1"/>
    <col min="8713" max="8713" width="6.5703125" style="33" customWidth="1"/>
    <col min="8714" max="8714" width="1.7109375" style="33" customWidth="1"/>
    <col min="8715" max="8715" width="1.85546875" style="33" customWidth="1"/>
    <col min="8716" max="8716" width="8.140625" style="33" customWidth="1"/>
    <col min="8717" max="8949" width="9.140625" style="33"/>
    <col min="8950" max="8950" width="1.7109375" style="33" customWidth="1"/>
    <col min="8951" max="8951" width="7.7109375" style="33" customWidth="1"/>
    <col min="8952" max="8952" width="1.28515625" style="33" customWidth="1"/>
    <col min="8953" max="8953" width="1" style="33" customWidth="1"/>
    <col min="8954" max="8954" width="1.5703125" style="33" customWidth="1"/>
    <col min="8955" max="8955" width="3.140625" style="33" customWidth="1"/>
    <col min="8956" max="8956" width="1.7109375" style="33" customWidth="1"/>
    <col min="8957" max="8957" width="15.42578125" style="33" customWidth="1"/>
    <col min="8958" max="8958" width="2.85546875" style="33" customWidth="1"/>
    <col min="8959" max="8959" width="12.5703125" style="33" customWidth="1"/>
    <col min="8960" max="8960" width="1.85546875" style="33" customWidth="1"/>
    <col min="8961" max="8964" width="2.140625" style="33" customWidth="1"/>
    <col min="8965" max="8965" width="38.140625" style="33" customWidth="1"/>
    <col min="8966" max="8966" width="2" style="33" customWidth="1"/>
    <col min="8967" max="8967" width="1.7109375" style="33" customWidth="1"/>
    <col min="8968" max="8968" width="1.85546875" style="33" customWidth="1"/>
    <col min="8969" max="8969" width="6.5703125" style="33" customWidth="1"/>
    <col min="8970" max="8970" width="1.7109375" style="33" customWidth="1"/>
    <col min="8971" max="8971" width="1.85546875" style="33" customWidth="1"/>
    <col min="8972" max="8972" width="8.140625" style="33" customWidth="1"/>
    <col min="8973" max="9205" width="9.140625" style="33"/>
    <col min="9206" max="9206" width="1.7109375" style="33" customWidth="1"/>
    <col min="9207" max="9207" width="7.7109375" style="33" customWidth="1"/>
    <col min="9208" max="9208" width="1.28515625" style="33" customWidth="1"/>
    <col min="9209" max="9209" width="1" style="33" customWidth="1"/>
    <col min="9210" max="9210" width="1.5703125" style="33" customWidth="1"/>
    <col min="9211" max="9211" width="3.140625" style="33" customWidth="1"/>
    <col min="9212" max="9212" width="1.7109375" style="33" customWidth="1"/>
    <col min="9213" max="9213" width="15.42578125" style="33" customWidth="1"/>
    <col min="9214" max="9214" width="2.85546875" style="33" customWidth="1"/>
    <col min="9215" max="9215" width="12.5703125" style="33" customWidth="1"/>
    <col min="9216" max="9216" width="1.85546875" style="33" customWidth="1"/>
    <col min="9217" max="9220" width="2.140625" style="33" customWidth="1"/>
    <col min="9221" max="9221" width="38.140625" style="33" customWidth="1"/>
    <col min="9222" max="9222" width="2" style="33" customWidth="1"/>
    <col min="9223" max="9223" width="1.7109375" style="33" customWidth="1"/>
    <col min="9224" max="9224" width="1.85546875" style="33" customWidth="1"/>
    <col min="9225" max="9225" width="6.5703125" style="33" customWidth="1"/>
    <col min="9226" max="9226" width="1.7109375" style="33" customWidth="1"/>
    <col min="9227" max="9227" width="1.85546875" style="33" customWidth="1"/>
    <col min="9228" max="9228" width="8.140625" style="33" customWidth="1"/>
    <col min="9229" max="9461" width="9.140625" style="33"/>
    <col min="9462" max="9462" width="1.7109375" style="33" customWidth="1"/>
    <col min="9463" max="9463" width="7.7109375" style="33" customWidth="1"/>
    <col min="9464" max="9464" width="1.28515625" style="33" customWidth="1"/>
    <col min="9465" max="9465" width="1" style="33" customWidth="1"/>
    <col min="9466" max="9466" width="1.5703125" style="33" customWidth="1"/>
    <col min="9467" max="9467" width="3.140625" style="33" customWidth="1"/>
    <col min="9468" max="9468" width="1.7109375" style="33" customWidth="1"/>
    <col min="9469" max="9469" width="15.42578125" style="33" customWidth="1"/>
    <col min="9470" max="9470" width="2.85546875" style="33" customWidth="1"/>
    <col min="9471" max="9471" width="12.5703125" style="33" customWidth="1"/>
    <col min="9472" max="9472" width="1.85546875" style="33" customWidth="1"/>
    <col min="9473" max="9476" width="2.140625" style="33" customWidth="1"/>
    <col min="9477" max="9477" width="38.140625" style="33" customWidth="1"/>
    <col min="9478" max="9478" width="2" style="33" customWidth="1"/>
    <col min="9479" max="9479" width="1.7109375" style="33" customWidth="1"/>
    <col min="9480" max="9480" width="1.85546875" style="33" customWidth="1"/>
    <col min="9481" max="9481" width="6.5703125" style="33" customWidth="1"/>
    <col min="9482" max="9482" width="1.7109375" style="33" customWidth="1"/>
    <col min="9483" max="9483" width="1.85546875" style="33" customWidth="1"/>
    <col min="9484" max="9484" width="8.140625" style="33" customWidth="1"/>
    <col min="9485" max="9717" width="9.140625" style="33"/>
    <col min="9718" max="9718" width="1.7109375" style="33" customWidth="1"/>
    <col min="9719" max="9719" width="7.7109375" style="33" customWidth="1"/>
    <col min="9720" max="9720" width="1.28515625" style="33" customWidth="1"/>
    <col min="9721" max="9721" width="1" style="33" customWidth="1"/>
    <col min="9722" max="9722" width="1.5703125" style="33" customWidth="1"/>
    <col min="9723" max="9723" width="3.140625" style="33" customWidth="1"/>
    <col min="9724" max="9724" width="1.7109375" style="33" customWidth="1"/>
    <col min="9725" max="9725" width="15.42578125" style="33" customWidth="1"/>
    <col min="9726" max="9726" width="2.85546875" style="33" customWidth="1"/>
    <col min="9727" max="9727" width="12.5703125" style="33" customWidth="1"/>
    <col min="9728" max="9728" width="1.85546875" style="33" customWidth="1"/>
    <col min="9729" max="9732" width="2.140625" style="33" customWidth="1"/>
    <col min="9733" max="9733" width="38.140625" style="33" customWidth="1"/>
    <col min="9734" max="9734" width="2" style="33" customWidth="1"/>
    <col min="9735" max="9735" width="1.7109375" style="33" customWidth="1"/>
    <col min="9736" max="9736" width="1.85546875" style="33" customWidth="1"/>
    <col min="9737" max="9737" width="6.5703125" style="33" customWidth="1"/>
    <col min="9738" max="9738" width="1.7109375" style="33" customWidth="1"/>
    <col min="9739" max="9739" width="1.85546875" style="33" customWidth="1"/>
    <col min="9740" max="9740" width="8.140625" style="33" customWidth="1"/>
    <col min="9741" max="9973" width="9.140625" style="33"/>
    <col min="9974" max="9974" width="1.7109375" style="33" customWidth="1"/>
    <col min="9975" max="9975" width="7.7109375" style="33" customWidth="1"/>
    <col min="9976" max="9976" width="1.28515625" style="33" customWidth="1"/>
    <col min="9977" max="9977" width="1" style="33" customWidth="1"/>
    <col min="9978" max="9978" width="1.5703125" style="33" customWidth="1"/>
    <col min="9979" max="9979" width="3.140625" style="33" customWidth="1"/>
    <col min="9980" max="9980" width="1.7109375" style="33" customWidth="1"/>
    <col min="9981" max="9981" width="15.42578125" style="33" customWidth="1"/>
    <col min="9982" max="9982" width="2.85546875" style="33" customWidth="1"/>
    <col min="9983" max="9983" width="12.5703125" style="33" customWidth="1"/>
    <col min="9984" max="9984" width="1.85546875" style="33" customWidth="1"/>
    <col min="9985" max="9988" width="2.140625" style="33" customWidth="1"/>
    <col min="9989" max="9989" width="38.140625" style="33" customWidth="1"/>
    <col min="9990" max="9990" width="2" style="33" customWidth="1"/>
    <col min="9991" max="9991" width="1.7109375" style="33" customWidth="1"/>
    <col min="9992" max="9992" width="1.85546875" style="33" customWidth="1"/>
    <col min="9993" max="9993" width="6.5703125" style="33" customWidth="1"/>
    <col min="9994" max="9994" width="1.7109375" style="33" customWidth="1"/>
    <col min="9995" max="9995" width="1.85546875" style="33" customWidth="1"/>
    <col min="9996" max="9996" width="8.140625" style="33" customWidth="1"/>
    <col min="9997" max="10229" width="9.140625" style="33"/>
    <col min="10230" max="10230" width="1.7109375" style="33" customWidth="1"/>
    <col min="10231" max="10231" width="7.7109375" style="33" customWidth="1"/>
    <col min="10232" max="10232" width="1.28515625" style="33" customWidth="1"/>
    <col min="10233" max="10233" width="1" style="33" customWidth="1"/>
    <col min="10234" max="10234" width="1.5703125" style="33" customWidth="1"/>
    <col min="10235" max="10235" width="3.140625" style="33" customWidth="1"/>
    <col min="10236" max="10236" width="1.7109375" style="33" customWidth="1"/>
    <col min="10237" max="10237" width="15.42578125" style="33" customWidth="1"/>
    <col min="10238" max="10238" width="2.85546875" style="33" customWidth="1"/>
    <col min="10239" max="10239" width="12.5703125" style="33" customWidth="1"/>
    <col min="10240" max="10240" width="1.85546875" style="33" customWidth="1"/>
    <col min="10241" max="10244" width="2.140625" style="33" customWidth="1"/>
    <col min="10245" max="10245" width="38.140625" style="33" customWidth="1"/>
    <col min="10246" max="10246" width="2" style="33" customWidth="1"/>
    <col min="10247" max="10247" width="1.7109375" style="33" customWidth="1"/>
    <col min="10248" max="10248" width="1.85546875" style="33" customWidth="1"/>
    <col min="10249" max="10249" width="6.5703125" style="33" customWidth="1"/>
    <col min="10250" max="10250" width="1.7109375" style="33" customWidth="1"/>
    <col min="10251" max="10251" width="1.85546875" style="33" customWidth="1"/>
    <col min="10252" max="10252" width="8.140625" style="33" customWidth="1"/>
    <col min="10253" max="10485" width="9.140625" style="33"/>
    <col min="10486" max="10486" width="1.7109375" style="33" customWidth="1"/>
    <col min="10487" max="10487" width="7.7109375" style="33" customWidth="1"/>
    <col min="10488" max="10488" width="1.28515625" style="33" customWidth="1"/>
    <col min="10489" max="10489" width="1" style="33" customWidth="1"/>
    <col min="10490" max="10490" width="1.5703125" style="33" customWidth="1"/>
    <col min="10491" max="10491" width="3.140625" style="33" customWidth="1"/>
    <col min="10492" max="10492" width="1.7109375" style="33" customWidth="1"/>
    <col min="10493" max="10493" width="15.42578125" style="33" customWidth="1"/>
    <col min="10494" max="10494" width="2.85546875" style="33" customWidth="1"/>
    <col min="10495" max="10495" width="12.5703125" style="33" customWidth="1"/>
    <col min="10496" max="10496" width="1.85546875" style="33" customWidth="1"/>
    <col min="10497" max="10500" width="2.140625" style="33" customWidth="1"/>
    <col min="10501" max="10501" width="38.140625" style="33" customWidth="1"/>
    <col min="10502" max="10502" width="2" style="33" customWidth="1"/>
    <col min="10503" max="10503" width="1.7109375" style="33" customWidth="1"/>
    <col min="10504" max="10504" width="1.85546875" style="33" customWidth="1"/>
    <col min="10505" max="10505" width="6.5703125" style="33" customWidth="1"/>
    <col min="10506" max="10506" width="1.7109375" style="33" customWidth="1"/>
    <col min="10507" max="10507" width="1.85546875" style="33" customWidth="1"/>
    <col min="10508" max="10508" width="8.140625" style="33" customWidth="1"/>
    <col min="10509" max="10741" width="9.140625" style="33"/>
    <col min="10742" max="10742" width="1.7109375" style="33" customWidth="1"/>
    <col min="10743" max="10743" width="7.7109375" style="33" customWidth="1"/>
    <col min="10744" max="10744" width="1.28515625" style="33" customWidth="1"/>
    <col min="10745" max="10745" width="1" style="33" customWidth="1"/>
    <col min="10746" max="10746" width="1.5703125" style="33" customWidth="1"/>
    <col min="10747" max="10747" width="3.140625" style="33" customWidth="1"/>
    <col min="10748" max="10748" width="1.7109375" style="33" customWidth="1"/>
    <col min="10749" max="10749" width="15.42578125" style="33" customWidth="1"/>
    <col min="10750" max="10750" width="2.85546875" style="33" customWidth="1"/>
    <col min="10751" max="10751" width="12.5703125" style="33" customWidth="1"/>
    <col min="10752" max="10752" width="1.85546875" style="33" customWidth="1"/>
    <col min="10753" max="10756" width="2.140625" style="33" customWidth="1"/>
    <col min="10757" max="10757" width="38.140625" style="33" customWidth="1"/>
    <col min="10758" max="10758" width="2" style="33" customWidth="1"/>
    <col min="10759" max="10759" width="1.7109375" style="33" customWidth="1"/>
    <col min="10760" max="10760" width="1.85546875" style="33" customWidth="1"/>
    <col min="10761" max="10761" width="6.5703125" style="33" customWidth="1"/>
    <col min="10762" max="10762" width="1.7109375" style="33" customWidth="1"/>
    <col min="10763" max="10763" width="1.85546875" style="33" customWidth="1"/>
    <col min="10764" max="10764" width="8.140625" style="33" customWidth="1"/>
    <col min="10765" max="10997" width="9.140625" style="33"/>
    <col min="10998" max="10998" width="1.7109375" style="33" customWidth="1"/>
    <col min="10999" max="10999" width="7.7109375" style="33" customWidth="1"/>
    <col min="11000" max="11000" width="1.28515625" style="33" customWidth="1"/>
    <col min="11001" max="11001" width="1" style="33" customWidth="1"/>
    <col min="11002" max="11002" width="1.5703125" style="33" customWidth="1"/>
    <col min="11003" max="11003" width="3.140625" style="33" customWidth="1"/>
    <col min="11004" max="11004" width="1.7109375" style="33" customWidth="1"/>
    <col min="11005" max="11005" width="15.42578125" style="33" customWidth="1"/>
    <col min="11006" max="11006" width="2.85546875" style="33" customWidth="1"/>
    <col min="11007" max="11007" width="12.5703125" style="33" customWidth="1"/>
    <col min="11008" max="11008" width="1.85546875" style="33" customWidth="1"/>
    <col min="11009" max="11012" width="2.140625" style="33" customWidth="1"/>
    <col min="11013" max="11013" width="38.140625" style="33" customWidth="1"/>
    <col min="11014" max="11014" width="2" style="33" customWidth="1"/>
    <col min="11015" max="11015" width="1.7109375" style="33" customWidth="1"/>
    <col min="11016" max="11016" width="1.85546875" style="33" customWidth="1"/>
    <col min="11017" max="11017" width="6.5703125" style="33" customWidth="1"/>
    <col min="11018" max="11018" width="1.7109375" style="33" customWidth="1"/>
    <col min="11019" max="11019" width="1.85546875" style="33" customWidth="1"/>
    <col min="11020" max="11020" width="8.140625" style="33" customWidth="1"/>
    <col min="11021" max="11253" width="9.140625" style="33"/>
    <col min="11254" max="11254" width="1.7109375" style="33" customWidth="1"/>
    <col min="11255" max="11255" width="7.7109375" style="33" customWidth="1"/>
    <col min="11256" max="11256" width="1.28515625" style="33" customWidth="1"/>
    <col min="11257" max="11257" width="1" style="33" customWidth="1"/>
    <col min="11258" max="11258" width="1.5703125" style="33" customWidth="1"/>
    <col min="11259" max="11259" width="3.140625" style="33" customWidth="1"/>
    <col min="11260" max="11260" width="1.7109375" style="33" customWidth="1"/>
    <col min="11261" max="11261" width="15.42578125" style="33" customWidth="1"/>
    <col min="11262" max="11262" width="2.85546875" style="33" customWidth="1"/>
    <col min="11263" max="11263" width="12.5703125" style="33" customWidth="1"/>
    <col min="11264" max="11264" width="1.85546875" style="33" customWidth="1"/>
    <col min="11265" max="11268" width="2.140625" style="33" customWidth="1"/>
    <col min="11269" max="11269" width="38.140625" style="33" customWidth="1"/>
    <col min="11270" max="11270" width="2" style="33" customWidth="1"/>
    <col min="11271" max="11271" width="1.7109375" style="33" customWidth="1"/>
    <col min="11272" max="11272" width="1.85546875" style="33" customWidth="1"/>
    <col min="11273" max="11273" width="6.5703125" style="33" customWidth="1"/>
    <col min="11274" max="11274" width="1.7109375" style="33" customWidth="1"/>
    <col min="11275" max="11275" width="1.85546875" style="33" customWidth="1"/>
    <col min="11276" max="11276" width="8.140625" style="33" customWidth="1"/>
    <col min="11277" max="11509" width="9.140625" style="33"/>
    <col min="11510" max="11510" width="1.7109375" style="33" customWidth="1"/>
    <col min="11511" max="11511" width="7.7109375" style="33" customWidth="1"/>
    <col min="11512" max="11512" width="1.28515625" style="33" customWidth="1"/>
    <col min="11513" max="11513" width="1" style="33" customWidth="1"/>
    <col min="11514" max="11514" width="1.5703125" style="33" customWidth="1"/>
    <col min="11515" max="11515" width="3.140625" style="33" customWidth="1"/>
    <col min="11516" max="11516" width="1.7109375" style="33" customWidth="1"/>
    <col min="11517" max="11517" width="15.42578125" style="33" customWidth="1"/>
    <col min="11518" max="11518" width="2.85546875" style="33" customWidth="1"/>
    <col min="11519" max="11519" width="12.5703125" style="33" customWidth="1"/>
    <col min="11520" max="11520" width="1.85546875" style="33" customWidth="1"/>
    <col min="11521" max="11524" width="2.140625" style="33" customWidth="1"/>
    <col min="11525" max="11525" width="38.140625" style="33" customWidth="1"/>
    <col min="11526" max="11526" width="2" style="33" customWidth="1"/>
    <col min="11527" max="11527" width="1.7109375" style="33" customWidth="1"/>
    <col min="11528" max="11528" width="1.85546875" style="33" customWidth="1"/>
    <col min="11529" max="11529" width="6.5703125" style="33" customWidth="1"/>
    <col min="11530" max="11530" width="1.7109375" style="33" customWidth="1"/>
    <col min="11531" max="11531" width="1.85546875" style="33" customWidth="1"/>
    <col min="11532" max="11532" width="8.140625" style="33" customWidth="1"/>
    <col min="11533" max="11765" width="9.140625" style="33"/>
    <col min="11766" max="11766" width="1.7109375" style="33" customWidth="1"/>
    <col min="11767" max="11767" width="7.7109375" style="33" customWidth="1"/>
    <col min="11768" max="11768" width="1.28515625" style="33" customWidth="1"/>
    <col min="11769" max="11769" width="1" style="33" customWidth="1"/>
    <col min="11770" max="11770" width="1.5703125" style="33" customWidth="1"/>
    <col min="11771" max="11771" width="3.140625" style="33" customWidth="1"/>
    <col min="11772" max="11772" width="1.7109375" style="33" customWidth="1"/>
    <col min="11773" max="11773" width="15.42578125" style="33" customWidth="1"/>
    <col min="11774" max="11774" width="2.85546875" style="33" customWidth="1"/>
    <col min="11775" max="11775" width="12.5703125" style="33" customWidth="1"/>
    <col min="11776" max="11776" width="1.85546875" style="33" customWidth="1"/>
    <col min="11777" max="11780" width="2.140625" style="33" customWidth="1"/>
    <col min="11781" max="11781" width="38.140625" style="33" customWidth="1"/>
    <col min="11782" max="11782" width="2" style="33" customWidth="1"/>
    <col min="11783" max="11783" width="1.7109375" style="33" customWidth="1"/>
    <col min="11784" max="11784" width="1.85546875" style="33" customWidth="1"/>
    <col min="11785" max="11785" width="6.5703125" style="33" customWidth="1"/>
    <col min="11786" max="11786" width="1.7109375" style="33" customWidth="1"/>
    <col min="11787" max="11787" width="1.85546875" style="33" customWidth="1"/>
    <col min="11788" max="11788" width="8.140625" style="33" customWidth="1"/>
    <col min="11789" max="12021" width="9.140625" style="33"/>
    <col min="12022" max="12022" width="1.7109375" style="33" customWidth="1"/>
    <col min="12023" max="12023" width="7.7109375" style="33" customWidth="1"/>
    <col min="12024" max="12024" width="1.28515625" style="33" customWidth="1"/>
    <col min="12025" max="12025" width="1" style="33" customWidth="1"/>
    <col min="12026" max="12026" width="1.5703125" style="33" customWidth="1"/>
    <col min="12027" max="12027" width="3.140625" style="33" customWidth="1"/>
    <col min="12028" max="12028" width="1.7109375" style="33" customWidth="1"/>
    <col min="12029" max="12029" width="15.42578125" style="33" customWidth="1"/>
    <col min="12030" max="12030" width="2.85546875" style="33" customWidth="1"/>
    <col min="12031" max="12031" width="12.5703125" style="33" customWidth="1"/>
    <col min="12032" max="12032" width="1.85546875" style="33" customWidth="1"/>
    <col min="12033" max="12036" width="2.140625" style="33" customWidth="1"/>
    <col min="12037" max="12037" width="38.140625" style="33" customWidth="1"/>
    <col min="12038" max="12038" width="2" style="33" customWidth="1"/>
    <col min="12039" max="12039" width="1.7109375" style="33" customWidth="1"/>
    <col min="12040" max="12040" width="1.85546875" style="33" customWidth="1"/>
    <col min="12041" max="12041" width="6.5703125" style="33" customWidth="1"/>
    <col min="12042" max="12042" width="1.7109375" style="33" customWidth="1"/>
    <col min="12043" max="12043" width="1.85546875" style="33" customWidth="1"/>
    <col min="12044" max="12044" width="8.140625" style="33" customWidth="1"/>
    <col min="12045" max="12277" width="9.140625" style="33"/>
    <col min="12278" max="12278" width="1.7109375" style="33" customWidth="1"/>
    <col min="12279" max="12279" width="7.7109375" style="33" customWidth="1"/>
    <col min="12280" max="12280" width="1.28515625" style="33" customWidth="1"/>
    <col min="12281" max="12281" width="1" style="33" customWidth="1"/>
    <col min="12282" max="12282" width="1.5703125" style="33" customWidth="1"/>
    <col min="12283" max="12283" width="3.140625" style="33" customWidth="1"/>
    <col min="12284" max="12284" width="1.7109375" style="33" customWidth="1"/>
    <col min="12285" max="12285" width="15.42578125" style="33" customWidth="1"/>
    <col min="12286" max="12286" width="2.85546875" style="33" customWidth="1"/>
    <col min="12287" max="12287" width="12.5703125" style="33" customWidth="1"/>
    <col min="12288" max="12288" width="1.85546875" style="33" customWidth="1"/>
    <col min="12289" max="12292" width="2.140625" style="33" customWidth="1"/>
    <col min="12293" max="12293" width="38.140625" style="33" customWidth="1"/>
    <col min="12294" max="12294" width="2" style="33" customWidth="1"/>
    <col min="12295" max="12295" width="1.7109375" style="33" customWidth="1"/>
    <col min="12296" max="12296" width="1.85546875" style="33" customWidth="1"/>
    <col min="12297" max="12297" width="6.5703125" style="33" customWidth="1"/>
    <col min="12298" max="12298" width="1.7109375" style="33" customWidth="1"/>
    <col min="12299" max="12299" width="1.85546875" style="33" customWidth="1"/>
    <col min="12300" max="12300" width="8.140625" style="33" customWidth="1"/>
    <col min="12301" max="12533" width="9.140625" style="33"/>
    <col min="12534" max="12534" width="1.7109375" style="33" customWidth="1"/>
    <col min="12535" max="12535" width="7.7109375" style="33" customWidth="1"/>
    <col min="12536" max="12536" width="1.28515625" style="33" customWidth="1"/>
    <col min="12537" max="12537" width="1" style="33" customWidth="1"/>
    <col min="12538" max="12538" width="1.5703125" style="33" customWidth="1"/>
    <col min="12539" max="12539" width="3.140625" style="33" customWidth="1"/>
    <col min="12540" max="12540" width="1.7109375" style="33" customWidth="1"/>
    <col min="12541" max="12541" width="15.42578125" style="33" customWidth="1"/>
    <col min="12542" max="12542" width="2.85546875" style="33" customWidth="1"/>
    <col min="12543" max="12543" width="12.5703125" style="33" customWidth="1"/>
    <col min="12544" max="12544" width="1.85546875" style="33" customWidth="1"/>
    <col min="12545" max="12548" width="2.140625" style="33" customWidth="1"/>
    <col min="12549" max="12549" width="38.140625" style="33" customWidth="1"/>
    <col min="12550" max="12550" width="2" style="33" customWidth="1"/>
    <col min="12551" max="12551" width="1.7109375" style="33" customWidth="1"/>
    <col min="12552" max="12552" width="1.85546875" style="33" customWidth="1"/>
    <col min="12553" max="12553" width="6.5703125" style="33" customWidth="1"/>
    <col min="12554" max="12554" width="1.7109375" style="33" customWidth="1"/>
    <col min="12555" max="12555" width="1.85546875" style="33" customWidth="1"/>
    <col min="12556" max="12556" width="8.140625" style="33" customWidth="1"/>
    <col min="12557" max="12789" width="9.140625" style="33"/>
    <col min="12790" max="12790" width="1.7109375" style="33" customWidth="1"/>
    <col min="12791" max="12791" width="7.7109375" style="33" customWidth="1"/>
    <col min="12792" max="12792" width="1.28515625" style="33" customWidth="1"/>
    <col min="12793" max="12793" width="1" style="33" customWidth="1"/>
    <col min="12794" max="12794" width="1.5703125" style="33" customWidth="1"/>
    <col min="12795" max="12795" width="3.140625" style="33" customWidth="1"/>
    <col min="12796" max="12796" width="1.7109375" style="33" customWidth="1"/>
    <col min="12797" max="12797" width="15.42578125" style="33" customWidth="1"/>
    <col min="12798" max="12798" width="2.85546875" style="33" customWidth="1"/>
    <col min="12799" max="12799" width="12.5703125" style="33" customWidth="1"/>
    <col min="12800" max="12800" width="1.85546875" style="33" customWidth="1"/>
    <col min="12801" max="12804" width="2.140625" style="33" customWidth="1"/>
    <col min="12805" max="12805" width="38.140625" style="33" customWidth="1"/>
    <col min="12806" max="12806" width="2" style="33" customWidth="1"/>
    <col min="12807" max="12807" width="1.7109375" style="33" customWidth="1"/>
    <col min="12808" max="12808" width="1.85546875" style="33" customWidth="1"/>
    <col min="12809" max="12809" width="6.5703125" style="33" customWidth="1"/>
    <col min="12810" max="12810" width="1.7109375" style="33" customWidth="1"/>
    <col min="12811" max="12811" width="1.85546875" style="33" customWidth="1"/>
    <col min="12812" max="12812" width="8.140625" style="33" customWidth="1"/>
    <col min="12813" max="13045" width="9.140625" style="33"/>
    <col min="13046" max="13046" width="1.7109375" style="33" customWidth="1"/>
    <col min="13047" max="13047" width="7.7109375" style="33" customWidth="1"/>
    <col min="13048" max="13048" width="1.28515625" style="33" customWidth="1"/>
    <col min="13049" max="13049" width="1" style="33" customWidth="1"/>
    <col min="13050" max="13050" width="1.5703125" style="33" customWidth="1"/>
    <col min="13051" max="13051" width="3.140625" style="33" customWidth="1"/>
    <col min="13052" max="13052" width="1.7109375" style="33" customWidth="1"/>
    <col min="13053" max="13053" width="15.42578125" style="33" customWidth="1"/>
    <col min="13054" max="13054" width="2.85546875" style="33" customWidth="1"/>
    <col min="13055" max="13055" width="12.5703125" style="33" customWidth="1"/>
    <col min="13056" max="13056" width="1.85546875" style="33" customWidth="1"/>
    <col min="13057" max="13060" width="2.140625" style="33" customWidth="1"/>
    <col min="13061" max="13061" width="38.140625" style="33" customWidth="1"/>
    <col min="13062" max="13062" width="2" style="33" customWidth="1"/>
    <col min="13063" max="13063" width="1.7109375" style="33" customWidth="1"/>
    <col min="13064" max="13064" width="1.85546875" style="33" customWidth="1"/>
    <col min="13065" max="13065" width="6.5703125" style="33" customWidth="1"/>
    <col min="13066" max="13066" width="1.7109375" style="33" customWidth="1"/>
    <col min="13067" max="13067" width="1.85546875" style="33" customWidth="1"/>
    <col min="13068" max="13068" width="8.140625" style="33" customWidth="1"/>
    <col min="13069" max="13301" width="9.140625" style="33"/>
    <col min="13302" max="13302" width="1.7109375" style="33" customWidth="1"/>
    <col min="13303" max="13303" width="7.7109375" style="33" customWidth="1"/>
    <col min="13304" max="13304" width="1.28515625" style="33" customWidth="1"/>
    <col min="13305" max="13305" width="1" style="33" customWidth="1"/>
    <col min="13306" max="13306" width="1.5703125" style="33" customWidth="1"/>
    <col min="13307" max="13307" width="3.140625" style="33" customWidth="1"/>
    <col min="13308" max="13308" width="1.7109375" style="33" customWidth="1"/>
    <col min="13309" max="13309" width="15.42578125" style="33" customWidth="1"/>
    <col min="13310" max="13310" width="2.85546875" style="33" customWidth="1"/>
    <col min="13311" max="13311" width="12.5703125" style="33" customWidth="1"/>
    <col min="13312" max="13312" width="1.85546875" style="33" customWidth="1"/>
    <col min="13313" max="13316" width="2.140625" style="33" customWidth="1"/>
    <col min="13317" max="13317" width="38.140625" style="33" customWidth="1"/>
    <col min="13318" max="13318" width="2" style="33" customWidth="1"/>
    <col min="13319" max="13319" width="1.7109375" style="33" customWidth="1"/>
    <col min="13320" max="13320" width="1.85546875" style="33" customWidth="1"/>
    <col min="13321" max="13321" width="6.5703125" style="33" customWidth="1"/>
    <col min="13322" max="13322" width="1.7109375" style="33" customWidth="1"/>
    <col min="13323" max="13323" width="1.85546875" style="33" customWidth="1"/>
    <col min="13324" max="13324" width="8.140625" style="33" customWidth="1"/>
    <col min="13325" max="13557" width="9.140625" style="33"/>
    <col min="13558" max="13558" width="1.7109375" style="33" customWidth="1"/>
    <col min="13559" max="13559" width="7.7109375" style="33" customWidth="1"/>
    <col min="13560" max="13560" width="1.28515625" style="33" customWidth="1"/>
    <col min="13561" max="13561" width="1" style="33" customWidth="1"/>
    <col min="13562" max="13562" width="1.5703125" style="33" customWidth="1"/>
    <col min="13563" max="13563" width="3.140625" style="33" customWidth="1"/>
    <col min="13564" max="13564" width="1.7109375" style="33" customWidth="1"/>
    <col min="13565" max="13565" width="15.42578125" style="33" customWidth="1"/>
    <col min="13566" max="13566" width="2.85546875" style="33" customWidth="1"/>
    <col min="13567" max="13567" width="12.5703125" style="33" customWidth="1"/>
    <col min="13568" max="13568" width="1.85546875" style="33" customWidth="1"/>
    <col min="13569" max="13572" width="2.140625" style="33" customWidth="1"/>
    <col min="13573" max="13573" width="38.140625" style="33" customWidth="1"/>
    <col min="13574" max="13574" width="2" style="33" customWidth="1"/>
    <col min="13575" max="13575" width="1.7109375" style="33" customWidth="1"/>
    <col min="13576" max="13576" width="1.85546875" style="33" customWidth="1"/>
    <col min="13577" max="13577" width="6.5703125" style="33" customWidth="1"/>
    <col min="13578" max="13578" width="1.7109375" style="33" customWidth="1"/>
    <col min="13579" max="13579" width="1.85546875" style="33" customWidth="1"/>
    <col min="13580" max="13580" width="8.140625" style="33" customWidth="1"/>
    <col min="13581" max="13813" width="9.140625" style="33"/>
    <col min="13814" max="13814" width="1.7109375" style="33" customWidth="1"/>
    <col min="13815" max="13815" width="7.7109375" style="33" customWidth="1"/>
    <col min="13816" max="13816" width="1.28515625" style="33" customWidth="1"/>
    <col min="13817" max="13817" width="1" style="33" customWidth="1"/>
    <col min="13818" max="13818" width="1.5703125" style="33" customWidth="1"/>
    <col min="13819" max="13819" width="3.140625" style="33" customWidth="1"/>
    <col min="13820" max="13820" width="1.7109375" style="33" customWidth="1"/>
    <col min="13821" max="13821" width="15.42578125" style="33" customWidth="1"/>
    <col min="13822" max="13822" width="2.85546875" style="33" customWidth="1"/>
    <col min="13823" max="13823" width="12.5703125" style="33" customWidth="1"/>
    <col min="13824" max="13824" width="1.85546875" style="33" customWidth="1"/>
    <col min="13825" max="13828" width="2.140625" style="33" customWidth="1"/>
    <col min="13829" max="13829" width="38.140625" style="33" customWidth="1"/>
    <col min="13830" max="13830" width="2" style="33" customWidth="1"/>
    <col min="13831" max="13831" width="1.7109375" style="33" customWidth="1"/>
    <col min="13832" max="13832" width="1.85546875" style="33" customWidth="1"/>
    <col min="13833" max="13833" width="6.5703125" style="33" customWidth="1"/>
    <col min="13834" max="13834" width="1.7109375" style="33" customWidth="1"/>
    <col min="13835" max="13835" width="1.85546875" style="33" customWidth="1"/>
    <col min="13836" max="13836" width="8.140625" style="33" customWidth="1"/>
    <col min="13837" max="14069" width="9.140625" style="33"/>
    <col min="14070" max="14070" width="1.7109375" style="33" customWidth="1"/>
    <col min="14071" max="14071" width="7.7109375" style="33" customWidth="1"/>
    <col min="14072" max="14072" width="1.28515625" style="33" customWidth="1"/>
    <col min="14073" max="14073" width="1" style="33" customWidth="1"/>
    <col min="14074" max="14074" width="1.5703125" style="33" customWidth="1"/>
    <col min="14075" max="14075" width="3.140625" style="33" customWidth="1"/>
    <col min="14076" max="14076" width="1.7109375" style="33" customWidth="1"/>
    <col min="14077" max="14077" width="15.42578125" style="33" customWidth="1"/>
    <col min="14078" max="14078" width="2.85546875" style="33" customWidth="1"/>
    <col min="14079" max="14079" width="12.5703125" style="33" customWidth="1"/>
    <col min="14080" max="14080" width="1.85546875" style="33" customWidth="1"/>
    <col min="14081" max="14084" width="2.140625" style="33" customWidth="1"/>
    <col min="14085" max="14085" width="38.140625" style="33" customWidth="1"/>
    <col min="14086" max="14086" width="2" style="33" customWidth="1"/>
    <col min="14087" max="14087" width="1.7109375" style="33" customWidth="1"/>
    <col min="14088" max="14088" width="1.85546875" style="33" customWidth="1"/>
    <col min="14089" max="14089" width="6.5703125" style="33" customWidth="1"/>
    <col min="14090" max="14090" width="1.7109375" style="33" customWidth="1"/>
    <col min="14091" max="14091" width="1.85546875" style="33" customWidth="1"/>
    <col min="14092" max="14092" width="8.140625" style="33" customWidth="1"/>
    <col min="14093" max="14325" width="9.140625" style="33"/>
    <col min="14326" max="14326" width="1.7109375" style="33" customWidth="1"/>
    <col min="14327" max="14327" width="7.7109375" style="33" customWidth="1"/>
    <col min="14328" max="14328" width="1.28515625" style="33" customWidth="1"/>
    <col min="14329" max="14329" width="1" style="33" customWidth="1"/>
    <col min="14330" max="14330" width="1.5703125" style="33" customWidth="1"/>
    <col min="14331" max="14331" width="3.140625" style="33" customWidth="1"/>
    <col min="14332" max="14332" width="1.7109375" style="33" customWidth="1"/>
    <col min="14333" max="14333" width="15.42578125" style="33" customWidth="1"/>
    <col min="14334" max="14334" width="2.85546875" style="33" customWidth="1"/>
    <col min="14335" max="14335" width="12.5703125" style="33" customWidth="1"/>
    <col min="14336" max="14336" width="1.85546875" style="33" customWidth="1"/>
    <col min="14337" max="14340" width="2.140625" style="33" customWidth="1"/>
    <col min="14341" max="14341" width="38.140625" style="33" customWidth="1"/>
    <col min="14342" max="14342" width="2" style="33" customWidth="1"/>
    <col min="14343" max="14343" width="1.7109375" style="33" customWidth="1"/>
    <col min="14344" max="14344" width="1.85546875" style="33" customWidth="1"/>
    <col min="14345" max="14345" width="6.5703125" style="33" customWidth="1"/>
    <col min="14346" max="14346" width="1.7109375" style="33" customWidth="1"/>
    <col min="14347" max="14347" width="1.85546875" style="33" customWidth="1"/>
    <col min="14348" max="14348" width="8.140625" style="33" customWidth="1"/>
    <col min="14349" max="14581" width="9.140625" style="33"/>
    <col min="14582" max="14582" width="1.7109375" style="33" customWidth="1"/>
    <col min="14583" max="14583" width="7.7109375" style="33" customWidth="1"/>
    <col min="14584" max="14584" width="1.28515625" style="33" customWidth="1"/>
    <col min="14585" max="14585" width="1" style="33" customWidth="1"/>
    <col min="14586" max="14586" width="1.5703125" style="33" customWidth="1"/>
    <col min="14587" max="14587" width="3.140625" style="33" customWidth="1"/>
    <col min="14588" max="14588" width="1.7109375" style="33" customWidth="1"/>
    <col min="14589" max="14589" width="15.42578125" style="33" customWidth="1"/>
    <col min="14590" max="14590" width="2.85546875" style="33" customWidth="1"/>
    <col min="14591" max="14591" width="12.5703125" style="33" customWidth="1"/>
    <col min="14592" max="14592" width="1.85546875" style="33" customWidth="1"/>
    <col min="14593" max="14596" width="2.140625" style="33" customWidth="1"/>
    <col min="14597" max="14597" width="38.140625" style="33" customWidth="1"/>
    <col min="14598" max="14598" width="2" style="33" customWidth="1"/>
    <col min="14599" max="14599" width="1.7109375" style="33" customWidth="1"/>
    <col min="14600" max="14600" width="1.85546875" style="33" customWidth="1"/>
    <col min="14601" max="14601" width="6.5703125" style="33" customWidth="1"/>
    <col min="14602" max="14602" width="1.7109375" style="33" customWidth="1"/>
    <col min="14603" max="14603" width="1.85546875" style="33" customWidth="1"/>
    <col min="14604" max="14604" width="8.140625" style="33" customWidth="1"/>
    <col min="14605" max="14837" width="9.140625" style="33"/>
    <col min="14838" max="14838" width="1.7109375" style="33" customWidth="1"/>
    <col min="14839" max="14839" width="7.7109375" style="33" customWidth="1"/>
    <col min="14840" max="14840" width="1.28515625" style="33" customWidth="1"/>
    <col min="14841" max="14841" width="1" style="33" customWidth="1"/>
    <col min="14842" max="14842" width="1.5703125" style="33" customWidth="1"/>
    <col min="14843" max="14843" width="3.140625" style="33" customWidth="1"/>
    <col min="14844" max="14844" width="1.7109375" style="33" customWidth="1"/>
    <col min="14845" max="14845" width="15.42578125" style="33" customWidth="1"/>
    <col min="14846" max="14846" width="2.85546875" style="33" customWidth="1"/>
    <col min="14847" max="14847" width="12.5703125" style="33" customWidth="1"/>
    <col min="14848" max="14848" width="1.85546875" style="33" customWidth="1"/>
    <col min="14849" max="14852" width="2.140625" style="33" customWidth="1"/>
    <col min="14853" max="14853" width="38.140625" style="33" customWidth="1"/>
    <col min="14854" max="14854" width="2" style="33" customWidth="1"/>
    <col min="14855" max="14855" width="1.7109375" style="33" customWidth="1"/>
    <col min="14856" max="14856" width="1.85546875" style="33" customWidth="1"/>
    <col min="14857" max="14857" width="6.5703125" style="33" customWidth="1"/>
    <col min="14858" max="14858" width="1.7109375" style="33" customWidth="1"/>
    <col min="14859" max="14859" width="1.85546875" style="33" customWidth="1"/>
    <col min="14860" max="14860" width="8.140625" style="33" customWidth="1"/>
    <col min="14861" max="15093" width="9.140625" style="33"/>
    <col min="15094" max="15094" width="1.7109375" style="33" customWidth="1"/>
    <col min="15095" max="15095" width="7.7109375" style="33" customWidth="1"/>
    <col min="15096" max="15096" width="1.28515625" style="33" customWidth="1"/>
    <col min="15097" max="15097" width="1" style="33" customWidth="1"/>
    <col min="15098" max="15098" width="1.5703125" style="33" customWidth="1"/>
    <col min="15099" max="15099" width="3.140625" style="33" customWidth="1"/>
    <col min="15100" max="15100" width="1.7109375" style="33" customWidth="1"/>
    <col min="15101" max="15101" width="15.42578125" style="33" customWidth="1"/>
    <col min="15102" max="15102" width="2.85546875" style="33" customWidth="1"/>
    <col min="15103" max="15103" width="12.5703125" style="33" customWidth="1"/>
    <col min="15104" max="15104" width="1.85546875" style="33" customWidth="1"/>
    <col min="15105" max="15108" width="2.140625" style="33" customWidth="1"/>
    <col min="15109" max="15109" width="38.140625" style="33" customWidth="1"/>
    <col min="15110" max="15110" width="2" style="33" customWidth="1"/>
    <col min="15111" max="15111" width="1.7109375" style="33" customWidth="1"/>
    <col min="15112" max="15112" width="1.85546875" style="33" customWidth="1"/>
    <col min="15113" max="15113" width="6.5703125" style="33" customWidth="1"/>
    <col min="15114" max="15114" width="1.7109375" style="33" customWidth="1"/>
    <col min="15115" max="15115" width="1.85546875" style="33" customWidth="1"/>
    <col min="15116" max="15116" width="8.140625" style="33" customWidth="1"/>
    <col min="15117" max="15349" width="9.140625" style="33"/>
    <col min="15350" max="15350" width="1.7109375" style="33" customWidth="1"/>
    <col min="15351" max="15351" width="7.7109375" style="33" customWidth="1"/>
    <col min="15352" max="15352" width="1.28515625" style="33" customWidth="1"/>
    <col min="15353" max="15353" width="1" style="33" customWidth="1"/>
    <col min="15354" max="15354" width="1.5703125" style="33" customWidth="1"/>
    <col min="15355" max="15355" width="3.140625" style="33" customWidth="1"/>
    <col min="15356" max="15356" width="1.7109375" style="33" customWidth="1"/>
    <col min="15357" max="15357" width="15.42578125" style="33" customWidth="1"/>
    <col min="15358" max="15358" width="2.85546875" style="33" customWidth="1"/>
    <col min="15359" max="15359" width="12.5703125" style="33" customWidth="1"/>
    <col min="15360" max="15360" width="1.85546875" style="33" customWidth="1"/>
    <col min="15361" max="15364" width="2.140625" style="33" customWidth="1"/>
    <col min="15365" max="15365" width="38.140625" style="33" customWidth="1"/>
    <col min="15366" max="15366" width="2" style="33" customWidth="1"/>
    <col min="15367" max="15367" width="1.7109375" style="33" customWidth="1"/>
    <col min="15368" max="15368" width="1.85546875" style="33" customWidth="1"/>
    <col min="15369" max="15369" width="6.5703125" style="33" customWidth="1"/>
    <col min="15370" max="15370" width="1.7109375" style="33" customWidth="1"/>
    <col min="15371" max="15371" width="1.85546875" style="33" customWidth="1"/>
    <col min="15372" max="15372" width="8.140625" style="33" customWidth="1"/>
    <col min="15373" max="15605" width="9.140625" style="33"/>
    <col min="15606" max="15606" width="1.7109375" style="33" customWidth="1"/>
    <col min="15607" max="15607" width="7.7109375" style="33" customWidth="1"/>
    <col min="15608" max="15608" width="1.28515625" style="33" customWidth="1"/>
    <col min="15609" max="15609" width="1" style="33" customWidth="1"/>
    <col min="15610" max="15610" width="1.5703125" style="33" customWidth="1"/>
    <col min="15611" max="15611" width="3.140625" style="33" customWidth="1"/>
    <col min="15612" max="15612" width="1.7109375" style="33" customWidth="1"/>
    <col min="15613" max="15613" width="15.42578125" style="33" customWidth="1"/>
    <col min="15614" max="15614" width="2.85546875" style="33" customWidth="1"/>
    <col min="15615" max="15615" width="12.5703125" style="33" customWidth="1"/>
    <col min="15616" max="15616" width="1.85546875" style="33" customWidth="1"/>
    <col min="15617" max="15620" width="2.140625" style="33" customWidth="1"/>
    <col min="15621" max="15621" width="38.140625" style="33" customWidth="1"/>
    <col min="15622" max="15622" width="2" style="33" customWidth="1"/>
    <col min="15623" max="15623" width="1.7109375" style="33" customWidth="1"/>
    <col min="15624" max="15624" width="1.85546875" style="33" customWidth="1"/>
    <col min="15625" max="15625" width="6.5703125" style="33" customWidth="1"/>
    <col min="15626" max="15626" width="1.7109375" style="33" customWidth="1"/>
    <col min="15627" max="15627" width="1.85546875" style="33" customWidth="1"/>
    <col min="15628" max="15628" width="8.140625" style="33" customWidth="1"/>
    <col min="15629" max="15861" width="9.140625" style="33"/>
    <col min="15862" max="15862" width="1.7109375" style="33" customWidth="1"/>
    <col min="15863" max="15863" width="7.7109375" style="33" customWidth="1"/>
    <col min="15864" max="15864" width="1.28515625" style="33" customWidth="1"/>
    <col min="15865" max="15865" width="1" style="33" customWidth="1"/>
    <col min="15866" max="15866" width="1.5703125" style="33" customWidth="1"/>
    <col min="15867" max="15867" width="3.140625" style="33" customWidth="1"/>
    <col min="15868" max="15868" width="1.7109375" style="33" customWidth="1"/>
    <col min="15869" max="15869" width="15.42578125" style="33" customWidth="1"/>
    <col min="15870" max="15870" width="2.85546875" style="33" customWidth="1"/>
    <col min="15871" max="15871" width="12.5703125" style="33" customWidth="1"/>
    <col min="15872" max="15872" width="1.85546875" style="33" customWidth="1"/>
    <col min="15873" max="15876" width="2.140625" style="33" customWidth="1"/>
    <col min="15877" max="15877" width="38.140625" style="33" customWidth="1"/>
    <col min="15878" max="15878" width="2" style="33" customWidth="1"/>
    <col min="15879" max="15879" width="1.7109375" style="33" customWidth="1"/>
    <col min="15880" max="15880" width="1.85546875" style="33" customWidth="1"/>
    <col min="15881" max="15881" width="6.5703125" style="33" customWidth="1"/>
    <col min="15882" max="15882" width="1.7109375" style="33" customWidth="1"/>
    <col min="15883" max="15883" width="1.85546875" style="33" customWidth="1"/>
    <col min="15884" max="15884" width="8.140625" style="33" customWidth="1"/>
    <col min="15885" max="16117" width="9.140625" style="33"/>
    <col min="16118" max="16118" width="1.7109375" style="33" customWidth="1"/>
    <col min="16119" max="16119" width="7.7109375" style="33" customWidth="1"/>
    <col min="16120" max="16120" width="1.28515625" style="33" customWidth="1"/>
    <col min="16121" max="16121" width="1" style="33" customWidth="1"/>
    <col min="16122" max="16122" width="1.5703125" style="33" customWidth="1"/>
    <col min="16123" max="16123" width="3.140625" style="33" customWidth="1"/>
    <col min="16124" max="16124" width="1.7109375" style="33" customWidth="1"/>
    <col min="16125" max="16125" width="15.42578125" style="33" customWidth="1"/>
    <col min="16126" max="16126" width="2.85546875" style="33" customWidth="1"/>
    <col min="16127" max="16127" width="12.5703125" style="33" customWidth="1"/>
    <col min="16128" max="16128" width="1.85546875" style="33" customWidth="1"/>
    <col min="16129" max="16132" width="2.140625" style="33" customWidth="1"/>
    <col min="16133" max="16133" width="38.140625" style="33" customWidth="1"/>
    <col min="16134" max="16134" width="2" style="33" customWidth="1"/>
    <col min="16135" max="16135" width="1.7109375" style="33" customWidth="1"/>
    <col min="16136" max="16136" width="1.85546875" style="33" customWidth="1"/>
    <col min="16137" max="16137" width="6.5703125" style="33" customWidth="1"/>
    <col min="16138" max="16138" width="1.7109375" style="33" customWidth="1"/>
    <col min="16139" max="16139" width="1.85546875" style="33" customWidth="1"/>
    <col min="16140" max="16140" width="8.140625" style="33" customWidth="1"/>
    <col min="16141" max="16384" width="9.140625" style="33"/>
  </cols>
  <sheetData>
    <row r="1" spans="1:13" ht="11.1" customHeight="1" thickBot="1" x14ac:dyDescent="0.25">
      <c r="A1" s="75">
        <v>1</v>
      </c>
      <c r="B1" s="115" t="s">
        <v>385</v>
      </c>
      <c r="C1" s="76" t="s">
        <v>386</v>
      </c>
      <c r="D1" s="86" t="s">
        <v>387</v>
      </c>
      <c r="E1" s="76" t="s">
        <v>388</v>
      </c>
      <c r="F1" s="76"/>
      <c r="G1" s="76"/>
      <c r="H1" s="76"/>
      <c r="I1" s="76"/>
      <c r="J1" s="85" t="s">
        <v>389</v>
      </c>
      <c r="K1" s="81" t="s">
        <v>925</v>
      </c>
      <c r="L1" s="92" t="s">
        <v>378</v>
      </c>
      <c r="M1" s="81" t="s">
        <v>926</v>
      </c>
    </row>
    <row r="2" spans="1:13" ht="11.85" customHeight="1" thickTop="1" x14ac:dyDescent="0.2">
      <c r="A2" s="75">
        <v>2</v>
      </c>
      <c r="B2" s="115">
        <v>17</v>
      </c>
      <c r="C2" s="76" t="s">
        <v>390</v>
      </c>
      <c r="D2" s="87" t="s">
        <v>391</v>
      </c>
      <c r="E2" s="76" t="s">
        <v>392</v>
      </c>
      <c r="F2" s="76"/>
      <c r="G2" s="76"/>
      <c r="H2" s="76"/>
      <c r="I2" s="76"/>
      <c r="J2" s="76">
        <v>1</v>
      </c>
      <c r="K2" s="76"/>
      <c r="L2" s="76"/>
      <c r="M2" s="76"/>
    </row>
    <row r="3" spans="1:13" ht="11.85" customHeight="1" x14ac:dyDescent="0.2">
      <c r="A3" s="75">
        <v>3</v>
      </c>
      <c r="B3" s="115">
        <v>23</v>
      </c>
      <c r="C3" s="76" t="s">
        <v>390</v>
      </c>
      <c r="D3" s="87" t="s">
        <v>370</v>
      </c>
      <c r="F3" s="76" t="s">
        <v>393</v>
      </c>
      <c r="G3" s="76"/>
      <c r="H3" s="76"/>
      <c r="I3" s="76"/>
      <c r="J3" s="76">
        <v>2</v>
      </c>
      <c r="K3" s="76"/>
      <c r="L3" s="76"/>
      <c r="M3" s="76"/>
    </row>
    <row r="4" spans="1:13" ht="11.85" customHeight="1" x14ac:dyDescent="0.2">
      <c r="A4" s="75">
        <v>4</v>
      </c>
      <c r="B4" s="115">
        <v>30</v>
      </c>
      <c r="C4" s="76" t="s">
        <v>390</v>
      </c>
      <c r="D4" s="87" t="s">
        <v>1</v>
      </c>
      <c r="G4" s="76" t="s">
        <v>2</v>
      </c>
      <c r="H4" s="76"/>
      <c r="I4" s="76"/>
      <c r="J4" s="76">
        <v>3</v>
      </c>
      <c r="K4" s="76"/>
      <c r="L4" s="76"/>
      <c r="M4" s="76"/>
    </row>
    <row r="5" spans="1:13" ht="11.85" customHeight="1" x14ac:dyDescent="0.2">
      <c r="A5" s="75">
        <v>5</v>
      </c>
      <c r="B5" s="115">
        <v>46</v>
      </c>
      <c r="C5" s="76" t="s">
        <v>390</v>
      </c>
      <c r="D5" s="87" t="s">
        <v>394</v>
      </c>
      <c r="H5" s="76" t="s">
        <v>395</v>
      </c>
      <c r="I5" s="76"/>
      <c r="J5" s="76">
        <v>4</v>
      </c>
      <c r="K5" s="76"/>
      <c r="L5" s="76"/>
      <c r="M5" s="76"/>
    </row>
    <row r="6" spans="1:13" ht="11.85" customHeight="1" x14ac:dyDescent="0.2">
      <c r="A6" s="75">
        <v>6</v>
      </c>
      <c r="B6" s="116">
        <v>52</v>
      </c>
      <c r="D6" s="87" t="s">
        <v>3</v>
      </c>
      <c r="I6" s="88" t="s">
        <v>396</v>
      </c>
      <c r="J6" s="88">
        <v>5</v>
      </c>
      <c r="K6" s="89" t="s">
        <v>360</v>
      </c>
      <c r="L6" s="93" t="s">
        <v>927</v>
      </c>
      <c r="M6" s="89"/>
    </row>
    <row r="7" spans="1:13" ht="11.85" customHeight="1" x14ac:dyDescent="0.2">
      <c r="A7" s="75">
        <v>7</v>
      </c>
      <c r="B7" s="116">
        <v>14019</v>
      </c>
      <c r="D7" s="87" t="s">
        <v>397</v>
      </c>
      <c r="I7" s="88" t="s">
        <v>398</v>
      </c>
      <c r="J7" s="88">
        <v>5</v>
      </c>
      <c r="K7" s="89" t="s">
        <v>360</v>
      </c>
      <c r="L7" s="93" t="s">
        <v>927</v>
      </c>
      <c r="M7" s="89"/>
    </row>
    <row r="8" spans="1:13" ht="11.85" customHeight="1" x14ac:dyDescent="0.2">
      <c r="A8" s="75">
        <v>8</v>
      </c>
      <c r="B8" s="116">
        <v>14061</v>
      </c>
      <c r="D8" s="87" t="s">
        <v>399</v>
      </c>
      <c r="I8" s="88" t="s">
        <v>400</v>
      </c>
      <c r="J8" s="88">
        <v>5</v>
      </c>
      <c r="K8" s="89" t="s">
        <v>360</v>
      </c>
      <c r="L8" s="93" t="s">
        <v>927</v>
      </c>
      <c r="M8" s="89"/>
    </row>
    <row r="9" spans="1:13" ht="11.85" customHeight="1" x14ac:dyDescent="0.2">
      <c r="A9" s="75">
        <v>9</v>
      </c>
      <c r="B9" s="116">
        <v>14077</v>
      </c>
      <c r="D9" s="87" t="s">
        <v>401</v>
      </c>
      <c r="I9" s="88" t="s">
        <v>402</v>
      </c>
      <c r="J9" s="88">
        <v>5</v>
      </c>
      <c r="K9" s="89" t="s">
        <v>360</v>
      </c>
      <c r="L9" s="93" t="s">
        <v>927</v>
      </c>
      <c r="M9" s="89"/>
    </row>
    <row r="10" spans="1:13" ht="11.85" customHeight="1" x14ac:dyDescent="0.2">
      <c r="A10" s="75">
        <v>10</v>
      </c>
      <c r="B10" s="116">
        <v>14078</v>
      </c>
      <c r="D10" s="87" t="s">
        <v>197</v>
      </c>
      <c r="I10" s="88" t="s">
        <v>403</v>
      </c>
      <c r="J10" s="88">
        <v>5</v>
      </c>
      <c r="K10" s="89" t="s">
        <v>360</v>
      </c>
      <c r="L10" s="93" t="s">
        <v>927</v>
      </c>
      <c r="M10" s="89"/>
    </row>
    <row r="11" spans="1:13" ht="11.85" customHeight="1" x14ac:dyDescent="0.2">
      <c r="A11" s="75">
        <v>11</v>
      </c>
      <c r="B11" s="116">
        <v>5983</v>
      </c>
      <c r="D11" s="87" t="s">
        <v>200</v>
      </c>
      <c r="I11" s="88" t="s">
        <v>404</v>
      </c>
      <c r="J11" s="88">
        <v>5</v>
      </c>
      <c r="K11" s="89" t="s">
        <v>360</v>
      </c>
      <c r="L11" s="93" t="s">
        <v>927</v>
      </c>
      <c r="M11" s="89"/>
    </row>
    <row r="12" spans="1:13" ht="11.85" customHeight="1" x14ac:dyDescent="0.2">
      <c r="A12" s="75">
        <v>12</v>
      </c>
      <c r="B12" s="115">
        <v>69</v>
      </c>
      <c r="C12" s="76" t="s">
        <v>390</v>
      </c>
      <c r="D12" s="87" t="s">
        <v>405</v>
      </c>
      <c r="H12" s="76" t="s">
        <v>406</v>
      </c>
      <c r="I12" s="76"/>
      <c r="J12" s="76">
        <v>4</v>
      </c>
      <c r="K12" s="76"/>
      <c r="L12" s="76"/>
      <c r="M12" s="76"/>
    </row>
    <row r="13" spans="1:13" ht="11.85" customHeight="1" x14ac:dyDescent="0.2">
      <c r="A13" s="75">
        <v>13</v>
      </c>
      <c r="B13" s="116">
        <v>9082</v>
      </c>
      <c r="D13" s="87" t="s">
        <v>407</v>
      </c>
      <c r="I13" s="88" t="s">
        <v>408</v>
      </c>
      <c r="J13" s="88">
        <v>5</v>
      </c>
      <c r="K13" s="89" t="s">
        <v>360</v>
      </c>
      <c r="L13" s="93" t="s">
        <v>927</v>
      </c>
      <c r="M13" s="89"/>
    </row>
    <row r="14" spans="1:13" ht="11.85" customHeight="1" x14ac:dyDescent="0.2">
      <c r="A14" s="75">
        <v>14</v>
      </c>
      <c r="B14" s="116">
        <v>9099</v>
      </c>
      <c r="D14" s="87" t="s">
        <v>409</v>
      </c>
      <c r="I14" s="88" t="s">
        <v>410</v>
      </c>
      <c r="J14" s="88">
        <v>5</v>
      </c>
      <c r="K14" s="89" t="s">
        <v>360</v>
      </c>
      <c r="L14" s="93" t="s">
        <v>927</v>
      </c>
      <c r="M14" s="89"/>
    </row>
    <row r="15" spans="1:13" ht="11.85" customHeight="1" x14ac:dyDescent="0.2">
      <c r="A15" s="75">
        <v>15</v>
      </c>
      <c r="B15" s="116">
        <v>9100</v>
      </c>
      <c r="D15" s="87" t="s">
        <v>411</v>
      </c>
      <c r="I15" s="88" t="s">
        <v>412</v>
      </c>
      <c r="J15" s="88">
        <v>5</v>
      </c>
      <c r="K15" s="89" t="s">
        <v>360</v>
      </c>
      <c r="L15" s="93" t="s">
        <v>927</v>
      </c>
      <c r="M15" s="89"/>
    </row>
    <row r="16" spans="1:13" ht="11.85" customHeight="1" x14ac:dyDescent="0.2">
      <c r="A16" s="75">
        <v>16</v>
      </c>
      <c r="B16" s="116">
        <v>9076</v>
      </c>
      <c r="D16" s="87" t="s">
        <v>413</v>
      </c>
      <c r="I16" s="88" t="s">
        <v>414</v>
      </c>
      <c r="J16" s="88">
        <v>5</v>
      </c>
      <c r="K16" s="89" t="s">
        <v>360</v>
      </c>
      <c r="L16" s="93" t="s">
        <v>927</v>
      </c>
      <c r="M16" s="89"/>
    </row>
    <row r="17" spans="1:13" ht="11.85" customHeight="1" x14ac:dyDescent="0.2">
      <c r="A17" s="75">
        <v>17</v>
      </c>
      <c r="B17" s="116">
        <v>11392</v>
      </c>
      <c r="D17" s="87" t="s">
        <v>415</v>
      </c>
      <c r="I17" s="88" t="s">
        <v>416</v>
      </c>
      <c r="J17" s="88">
        <v>5</v>
      </c>
      <c r="K17" s="89" t="s">
        <v>360</v>
      </c>
      <c r="L17" s="93" t="s">
        <v>927</v>
      </c>
      <c r="M17" s="89"/>
    </row>
    <row r="18" spans="1:13" ht="11.85" customHeight="1" x14ac:dyDescent="0.2">
      <c r="A18" s="75">
        <v>18</v>
      </c>
      <c r="B18" s="115">
        <v>75</v>
      </c>
      <c r="C18" s="76" t="s">
        <v>390</v>
      </c>
      <c r="D18" s="87" t="s">
        <v>4</v>
      </c>
      <c r="H18" s="76" t="s">
        <v>5</v>
      </c>
      <c r="I18" s="76"/>
      <c r="J18" s="76">
        <v>4</v>
      </c>
      <c r="K18" s="76"/>
      <c r="L18" s="76"/>
      <c r="M18" s="76"/>
    </row>
    <row r="19" spans="1:13" ht="11.85" customHeight="1" x14ac:dyDescent="0.2">
      <c r="A19" s="75">
        <v>19</v>
      </c>
      <c r="B19" s="116">
        <v>11699</v>
      </c>
      <c r="D19" s="87" t="s">
        <v>6</v>
      </c>
      <c r="I19" s="88" t="s">
        <v>417</v>
      </c>
      <c r="J19" s="88">
        <v>5</v>
      </c>
      <c r="K19" s="89" t="s">
        <v>360</v>
      </c>
      <c r="L19" s="93" t="s">
        <v>927</v>
      </c>
      <c r="M19" s="89"/>
    </row>
    <row r="20" spans="1:13" ht="11.85" customHeight="1" x14ac:dyDescent="0.2">
      <c r="A20" s="75">
        <v>20</v>
      </c>
      <c r="B20" s="116">
        <v>9509</v>
      </c>
      <c r="D20" s="87" t="s">
        <v>7</v>
      </c>
      <c r="I20" s="88" t="s">
        <v>418</v>
      </c>
      <c r="J20" s="88">
        <v>5</v>
      </c>
      <c r="K20" s="89" t="s">
        <v>360</v>
      </c>
      <c r="L20" s="93" t="s">
        <v>927</v>
      </c>
      <c r="M20" s="89"/>
    </row>
    <row r="21" spans="1:13" ht="11.85" customHeight="1" x14ac:dyDescent="0.2">
      <c r="A21" s="75">
        <v>21</v>
      </c>
      <c r="B21" s="116">
        <v>7901</v>
      </c>
      <c r="D21" s="87" t="s">
        <v>199</v>
      </c>
      <c r="I21" s="88" t="s">
        <v>419</v>
      </c>
      <c r="J21" s="88">
        <v>5</v>
      </c>
      <c r="K21" s="89" t="s">
        <v>360</v>
      </c>
      <c r="L21" s="93" t="s">
        <v>927</v>
      </c>
      <c r="M21" s="89"/>
    </row>
    <row r="22" spans="1:13" ht="11.85" customHeight="1" x14ac:dyDescent="0.2">
      <c r="A22" s="75">
        <v>22</v>
      </c>
      <c r="B22" s="116">
        <v>12799</v>
      </c>
      <c r="D22" s="87" t="s">
        <v>201</v>
      </c>
      <c r="I22" s="88" t="s">
        <v>420</v>
      </c>
      <c r="J22" s="88">
        <v>5</v>
      </c>
      <c r="K22" s="89" t="s">
        <v>360</v>
      </c>
      <c r="L22" s="93" t="s">
        <v>927</v>
      </c>
      <c r="M22" s="89"/>
    </row>
    <row r="23" spans="1:13" ht="11.85" customHeight="1" x14ac:dyDescent="0.2">
      <c r="A23" s="75">
        <v>23</v>
      </c>
      <c r="B23" s="116">
        <v>7902</v>
      </c>
      <c r="D23" s="87" t="s">
        <v>356</v>
      </c>
      <c r="I23" s="88" t="s">
        <v>357</v>
      </c>
      <c r="J23" s="88">
        <v>5</v>
      </c>
      <c r="K23" s="89" t="s">
        <v>360</v>
      </c>
      <c r="L23" s="93" t="s">
        <v>927</v>
      </c>
      <c r="M23" s="89"/>
    </row>
    <row r="24" spans="1:13" ht="11.85" customHeight="1" x14ac:dyDescent="0.2">
      <c r="A24" s="75">
        <v>24</v>
      </c>
      <c r="B24" s="115">
        <v>81</v>
      </c>
      <c r="C24" s="76" t="s">
        <v>390</v>
      </c>
      <c r="D24" s="87" t="s">
        <v>421</v>
      </c>
      <c r="G24" s="76" t="s">
        <v>422</v>
      </c>
      <c r="H24" s="76"/>
      <c r="I24" s="76"/>
      <c r="J24" s="76">
        <v>3</v>
      </c>
      <c r="K24" s="76"/>
      <c r="L24" s="76"/>
      <c r="M24" s="76"/>
    </row>
    <row r="25" spans="1:13" ht="11.85" customHeight="1" x14ac:dyDescent="0.2">
      <c r="A25" s="75">
        <v>25</v>
      </c>
      <c r="B25" s="115">
        <v>98</v>
      </c>
      <c r="C25" s="76" t="s">
        <v>390</v>
      </c>
      <c r="D25" s="87" t="s">
        <v>423</v>
      </c>
      <c r="H25" s="76" t="s">
        <v>424</v>
      </c>
      <c r="I25" s="76"/>
      <c r="J25" s="76">
        <v>4</v>
      </c>
      <c r="K25" s="76"/>
      <c r="L25" s="76"/>
      <c r="M25" s="76"/>
    </row>
    <row r="26" spans="1:13" ht="11.85" customHeight="1" x14ac:dyDescent="0.2">
      <c r="A26" s="75">
        <v>26</v>
      </c>
      <c r="B26" s="116">
        <v>13860</v>
      </c>
      <c r="D26" s="87" t="s">
        <v>425</v>
      </c>
      <c r="I26" s="88" t="s">
        <v>426</v>
      </c>
      <c r="J26" s="88">
        <v>5</v>
      </c>
      <c r="K26" s="89" t="s">
        <v>360</v>
      </c>
      <c r="L26" s="93" t="s">
        <v>927</v>
      </c>
      <c r="M26" s="89"/>
    </row>
    <row r="27" spans="1:13" ht="11.85" customHeight="1" x14ac:dyDescent="0.2">
      <c r="A27" s="75">
        <v>27</v>
      </c>
      <c r="B27" s="116">
        <v>101</v>
      </c>
      <c r="D27" s="87" t="s">
        <v>427</v>
      </c>
      <c r="I27" s="88" t="s">
        <v>428</v>
      </c>
      <c r="J27" s="88">
        <v>5</v>
      </c>
      <c r="K27" s="89" t="s">
        <v>360</v>
      </c>
      <c r="L27" s="93" t="s">
        <v>927</v>
      </c>
      <c r="M27" s="89"/>
    </row>
    <row r="28" spans="1:13" ht="11.85" customHeight="1" x14ac:dyDescent="0.2">
      <c r="A28" s="75">
        <v>28</v>
      </c>
      <c r="B28" s="116">
        <v>102</v>
      </c>
      <c r="D28" s="87" t="s">
        <v>429</v>
      </c>
      <c r="I28" s="88" t="s">
        <v>430</v>
      </c>
      <c r="J28" s="88">
        <v>5</v>
      </c>
      <c r="K28" s="89" t="s">
        <v>360</v>
      </c>
      <c r="L28" s="93" t="s">
        <v>927</v>
      </c>
      <c r="M28" s="89"/>
    </row>
    <row r="29" spans="1:13" ht="11.85" customHeight="1" x14ac:dyDescent="0.2">
      <c r="A29" s="75">
        <v>29</v>
      </c>
      <c r="B29" s="116">
        <v>103</v>
      </c>
      <c r="D29" s="87" t="s">
        <v>431</v>
      </c>
      <c r="I29" s="88" t="s">
        <v>432</v>
      </c>
      <c r="J29" s="88">
        <v>5</v>
      </c>
      <c r="K29" s="89" t="s">
        <v>360</v>
      </c>
      <c r="L29" s="93" t="s">
        <v>927</v>
      </c>
      <c r="M29" s="89"/>
    </row>
    <row r="30" spans="1:13" ht="11.85" customHeight="1" x14ac:dyDescent="0.2">
      <c r="A30" s="75">
        <v>30</v>
      </c>
      <c r="B30" s="116">
        <v>104</v>
      </c>
      <c r="D30" s="87" t="s">
        <v>433</v>
      </c>
      <c r="I30" s="88" t="s">
        <v>434</v>
      </c>
      <c r="J30" s="88">
        <v>5</v>
      </c>
      <c r="K30" s="89" t="s">
        <v>360</v>
      </c>
      <c r="L30" s="93" t="s">
        <v>927</v>
      </c>
      <c r="M30" s="89"/>
    </row>
    <row r="31" spans="1:13" ht="11.85" customHeight="1" x14ac:dyDescent="0.2">
      <c r="A31" s="75">
        <v>31</v>
      </c>
      <c r="B31" s="116">
        <v>106</v>
      </c>
      <c r="D31" s="87" t="s">
        <v>435</v>
      </c>
      <c r="I31" s="88" t="s">
        <v>436</v>
      </c>
      <c r="J31" s="88">
        <v>5</v>
      </c>
      <c r="K31" s="89" t="s">
        <v>360</v>
      </c>
      <c r="L31" s="93" t="s">
        <v>927</v>
      </c>
      <c r="M31" s="89"/>
    </row>
    <row r="32" spans="1:13" ht="11.85" customHeight="1" x14ac:dyDescent="0.2">
      <c r="A32" s="75">
        <v>32</v>
      </c>
      <c r="B32" s="116">
        <v>108</v>
      </c>
      <c r="D32" s="87" t="s">
        <v>437</v>
      </c>
      <c r="I32" s="88" t="s">
        <v>438</v>
      </c>
      <c r="J32" s="88">
        <v>5</v>
      </c>
      <c r="K32" s="89" t="s">
        <v>360</v>
      </c>
      <c r="L32" s="93" t="s">
        <v>927</v>
      </c>
      <c r="M32" s="89"/>
    </row>
    <row r="33" spans="1:14" ht="11.85" customHeight="1" x14ac:dyDescent="0.2">
      <c r="A33" s="75">
        <v>33</v>
      </c>
      <c r="B33" s="116">
        <v>175</v>
      </c>
      <c r="D33" s="87" t="s">
        <v>439</v>
      </c>
      <c r="I33" s="88" t="s">
        <v>440</v>
      </c>
      <c r="J33" s="88">
        <v>5</v>
      </c>
      <c r="K33" s="89" t="s">
        <v>360</v>
      </c>
      <c r="L33" s="93" t="s">
        <v>927</v>
      </c>
      <c r="M33" s="89"/>
    </row>
    <row r="34" spans="1:14" ht="11.85" customHeight="1" x14ac:dyDescent="0.2">
      <c r="A34" s="75">
        <v>34</v>
      </c>
      <c r="B34" s="116">
        <v>174</v>
      </c>
      <c r="D34" s="87" t="s">
        <v>441</v>
      </c>
      <c r="I34" s="88" t="s">
        <v>442</v>
      </c>
      <c r="J34" s="88">
        <v>5</v>
      </c>
      <c r="K34" s="84" t="s">
        <v>359</v>
      </c>
      <c r="L34" s="83">
        <v>1</v>
      </c>
      <c r="M34" s="84" t="s">
        <v>362</v>
      </c>
      <c r="N34" s="90" t="s">
        <v>442</v>
      </c>
    </row>
    <row r="35" spans="1:14" ht="11.85" customHeight="1" x14ac:dyDescent="0.2">
      <c r="A35" s="75">
        <v>35</v>
      </c>
      <c r="B35" s="114">
        <v>14025</v>
      </c>
      <c r="D35" s="87" t="s">
        <v>1244</v>
      </c>
      <c r="I35" s="88" t="s">
        <v>1243</v>
      </c>
      <c r="J35" s="88">
        <v>5</v>
      </c>
      <c r="K35" s="84" t="s">
        <v>359</v>
      </c>
      <c r="L35" s="83">
        <v>1</v>
      </c>
      <c r="M35" s="84" t="s">
        <v>362</v>
      </c>
      <c r="N35" s="90" t="s">
        <v>1243</v>
      </c>
    </row>
    <row r="36" spans="1:14" ht="11.85" customHeight="1" x14ac:dyDescent="0.2">
      <c r="A36" s="75">
        <v>36</v>
      </c>
      <c r="B36" s="115">
        <v>8071</v>
      </c>
      <c r="C36" s="76" t="s">
        <v>390</v>
      </c>
      <c r="D36" s="87" t="s">
        <v>443</v>
      </c>
      <c r="H36" s="76" t="s">
        <v>444</v>
      </c>
      <c r="I36" s="76"/>
      <c r="J36" s="76">
        <v>4</v>
      </c>
      <c r="K36" s="76"/>
      <c r="L36" s="76"/>
      <c r="M36" s="76"/>
    </row>
    <row r="37" spans="1:14" ht="11.85" customHeight="1" x14ac:dyDescent="0.2">
      <c r="A37" s="75">
        <v>37</v>
      </c>
      <c r="B37" s="116">
        <v>13942</v>
      </c>
      <c r="D37" s="87" t="s">
        <v>445</v>
      </c>
      <c r="I37" s="88" t="s">
        <v>446</v>
      </c>
      <c r="J37" s="88">
        <v>5</v>
      </c>
      <c r="K37" s="84" t="s">
        <v>359</v>
      </c>
      <c r="L37" s="83">
        <v>1</v>
      </c>
      <c r="M37" s="84" t="s">
        <v>885</v>
      </c>
      <c r="N37" s="90" t="s">
        <v>446</v>
      </c>
    </row>
    <row r="38" spans="1:14" ht="11.85" customHeight="1" x14ac:dyDescent="0.2">
      <c r="A38" s="75">
        <v>38</v>
      </c>
      <c r="B38" s="116">
        <v>13965</v>
      </c>
      <c r="D38" s="87" t="s">
        <v>447</v>
      </c>
      <c r="I38" s="88" t="s">
        <v>448</v>
      </c>
      <c r="J38" s="88">
        <v>5</v>
      </c>
      <c r="K38" s="84" t="s">
        <v>359</v>
      </c>
      <c r="L38" s="83">
        <v>1</v>
      </c>
      <c r="M38" s="84" t="s">
        <v>885</v>
      </c>
      <c r="N38" s="90" t="s">
        <v>448</v>
      </c>
    </row>
    <row r="39" spans="1:14" ht="11.85" customHeight="1" x14ac:dyDescent="0.2">
      <c r="A39" s="75">
        <v>39</v>
      </c>
      <c r="B39" s="116">
        <v>13959</v>
      </c>
      <c r="D39" s="87" t="s">
        <v>449</v>
      </c>
      <c r="I39" s="88" t="s">
        <v>450</v>
      </c>
      <c r="J39" s="88">
        <v>5</v>
      </c>
      <c r="K39" s="84" t="s">
        <v>359</v>
      </c>
      <c r="L39" s="83">
        <v>1</v>
      </c>
      <c r="M39" s="84" t="s">
        <v>885</v>
      </c>
      <c r="N39" s="90" t="s">
        <v>450</v>
      </c>
    </row>
    <row r="40" spans="1:14" ht="11.85" customHeight="1" x14ac:dyDescent="0.2">
      <c r="A40" s="75">
        <v>40</v>
      </c>
      <c r="B40" s="116">
        <v>13971</v>
      </c>
      <c r="D40" s="87" t="s">
        <v>451</v>
      </c>
      <c r="I40" s="88" t="s">
        <v>452</v>
      </c>
      <c r="J40" s="88">
        <v>5</v>
      </c>
      <c r="K40" s="84" t="s">
        <v>359</v>
      </c>
      <c r="L40" s="83">
        <v>1</v>
      </c>
      <c r="M40" s="84" t="s">
        <v>885</v>
      </c>
      <c r="N40" s="90" t="s">
        <v>452</v>
      </c>
    </row>
    <row r="41" spans="1:14" ht="11.85" customHeight="1" x14ac:dyDescent="0.2">
      <c r="A41" s="75">
        <v>41</v>
      </c>
      <c r="B41" s="115">
        <v>135</v>
      </c>
      <c r="C41" s="76" t="s">
        <v>390</v>
      </c>
      <c r="D41" s="87" t="s">
        <v>453</v>
      </c>
      <c r="G41" s="76" t="s">
        <v>454</v>
      </c>
      <c r="H41" s="76"/>
      <c r="I41" s="76"/>
      <c r="J41" s="76">
        <v>3</v>
      </c>
      <c r="K41" s="76"/>
      <c r="L41" s="76"/>
      <c r="M41" s="76"/>
    </row>
    <row r="42" spans="1:14" ht="11.85" customHeight="1" x14ac:dyDescent="0.2">
      <c r="A42" s="75">
        <v>42</v>
      </c>
      <c r="B42" s="115">
        <v>141</v>
      </c>
      <c r="C42" s="76" t="s">
        <v>390</v>
      </c>
      <c r="D42" s="87" t="s">
        <v>455</v>
      </c>
      <c r="H42" s="76" t="s">
        <v>456</v>
      </c>
      <c r="I42" s="76"/>
      <c r="J42" s="76">
        <v>4</v>
      </c>
      <c r="K42" s="76"/>
      <c r="L42" s="76"/>
      <c r="M42" s="76"/>
    </row>
    <row r="43" spans="1:14" ht="11.85" customHeight="1" x14ac:dyDescent="0.2">
      <c r="A43" s="75">
        <v>43</v>
      </c>
      <c r="B43" s="116">
        <v>53</v>
      </c>
      <c r="D43" s="87" t="s">
        <v>457</v>
      </c>
      <c r="I43" s="88" t="s">
        <v>458</v>
      </c>
      <c r="J43" s="88">
        <v>5</v>
      </c>
      <c r="K43" s="89" t="s">
        <v>360</v>
      </c>
      <c r="L43" s="93" t="s">
        <v>927</v>
      </c>
      <c r="M43" s="89"/>
    </row>
    <row r="44" spans="1:14" ht="11.85" customHeight="1" x14ac:dyDescent="0.2">
      <c r="A44" s="75">
        <v>44</v>
      </c>
      <c r="B44" s="116">
        <v>54</v>
      </c>
      <c r="D44" s="87" t="s">
        <v>459</v>
      </c>
      <c r="I44" s="88" t="s">
        <v>460</v>
      </c>
      <c r="J44" s="88">
        <v>5</v>
      </c>
      <c r="K44" s="89" t="s">
        <v>360</v>
      </c>
      <c r="L44" s="93" t="s">
        <v>927</v>
      </c>
      <c r="M44" s="89"/>
    </row>
    <row r="45" spans="1:14" ht="11.85" customHeight="1" x14ac:dyDescent="0.2">
      <c r="A45" s="75">
        <v>45</v>
      </c>
      <c r="B45" s="116">
        <v>55</v>
      </c>
      <c r="D45" s="87" t="s">
        <v>461</v>
      </c>
      <c r="I45" s="88" t="s">
        <v>462</v>
      </c>
      <c r="J45" s="88">
        <v>5</v>
      </c>
      <c r="K45" s="89" t="s">
        <v>360</v>
      </c>
      <c r="L45" s="93" t="s">
        <v>927</v>
      </c>
      <c r="M45" s="89"/>
    </row>
    <row r="46" spans="1:14" ht="11.85" customHeight="1" x14ac:dyDescent="0.2">
      <c r="A46" s="75">
        <v>46</v>
      </c>
      <c r="B46" s="115">
        <v>171</v>
      </c>
      <c r="C46" s="76" t="s">
        <v>390</v>
      </c>
      <c r="D46" s="87" t="s">
        <v>463</v>
      </c>
      <c r="H46" s="76" t="s">
        <v>464</v>
      </c>
      <c r="I46" s="76"/>
      <c r="J46" s="76">
        <v>4</v>
      </c>
      <c r="K46" s="76"/>
      <c r="L46" s="76"/>
      <c r="M46" s="76"/>
    </row>
    <row r="47" spans="1:14" ht="11.85" customHeight="1" x14ac:dyDescent="0.2">
      <c r="A47" s="75">
        <v>47</v>
      </c>
      <c r="B47" s="115">
        <v>187</v>
      </c>
      <c r="C47" s="76" t="s">
        <v>390</v>
      </c>
      <c r="D47" s="87" t="s">
        <v>465</v>
      </c>
      <c r="H47" s="76" t="s">
        <v>466</v>
      </c>
      <c r="I47" s="76"/>
      <c r="J47" s="76">
        <v>4</v>
      </c>
      <c r="K47" s="76"/>
      <c r="L47" s="76"/>
      <c r="M47" s="76"/>
    </row>
    <row r="48" spans="1:14" ht="11.85" customHeight="1" x14ac:dyDescent="0.2">
      <c r="A48" s="75">
        <v>48</v>
      </c>
      <c r="B48" s="116">
        <v>193</v>
      </c>
      <c r="D48" s="87" t="s">
        <v>467</v>
      </c>
      <c r="I48" s="88" t="s">
        <v>468</v>
      </c>
      <c r="J48" s="88">
        <v>5</v>
      </c>
      <c r="K48" s="84" t="s">
        <v>367</v>
      </c>
      <c r="L48" s="83">
        <v>7</v>
      </c>
      <c r="M48" s="84" t="s">
        <v>364</v>
      </c>
      <c r="N48" s="90" t="s">
        <v>747</v>
      </c>
    </row>
    <row r="49" spans="1:14" ht="11.85" customHeight="1" x14ac:dyDescent="0.2">
      <c r="A49" s="75">
        <v>49</v>
      </c>
      <c r="B49" s="116">
        <v>201</v>
      </c>
      <c r="D49" s="87" t="s">
        <v>8</v>
      </c>
      <c r="I49" s="88" t="s">
        <v>469</v>
      </c>
      <c r="J49" s="88">
        <v>5</v>
      </c>
      <c r="K49" s="84" t="s">
        <v>367</v>
      </c>
      <c r="L49" s="83">
        <v>7</v>
      </c>
      <c r="M49" s="84" t="s">
        <v>364</v>
      </c>
      <c r="N49" s="90" t="s">
        <v>79</v>
      </c>
    </row>
    <row r="50" spans="1:14" ht="11.85" customHeight="1" x14ac:dyDescent="0.2">
      <c r="A50" s="75">
        <v>50</v>
      </c>
      <c r="B50" s="116">
        <v>218</v>
      </c>
      <c r="D50" s="87" t="s">
        <v>9</v>
      </c>
      <c r="I50" s="88" t="s">
        <v>470</v>
      </c>
      <c r="J50" s="88">
        <v>5</v>
      </c>
      <c r="K50" s="84" t="s">
        <v>367</v>
      </c>
      <c r="L50" s="83">
        <v>7</v>
      </c>
      <c r="M50" s="84" t="s">
        <v>364</v>
      </c>
      <c r="N50" s="91" t="s">
        <v>80</v>
      </c>
    </row>
    <row r="51" spans="1:14" ht="11.85" customHeight="1" x14ac:dyDescent="0.2">
      <c r="A51" s="75">
        <v>51</v>
      </c>
      <c r="B51" s="115">
        <v>514</v>
      </c>
      <c r="C51" s="76" t="s">
        <v>390</v>
      </c>
      <c r="D51" s="87" t="s">
        <v>372</v>
      </c>
      <c r="F51" s="76" t="s">
        <v>471</v>
      </c>
      <c r="G51" s="76"/>
      <c r="H51" s="76"/>
      <c r="I51" s="76"/>
      <c r="J51" s="76">
        <v>2</v>
      </c>
      <c r="K51" s="76"/>
      <c r="L51" s="76"/>
      <c r="M51" s="76"/>
    </row>
    <row r="52" spans="1:14" ht="11.85" customHeight="1" x14ac:dyDescent="0.2">
      <c r="A52" s="75">
        <v>52</v>
      </c>
      <c r="B52" s="115">
        <v>521</v>
      </c>
      <c r="C52" s="76" t="s">
        <v>390</v>
      </c>
      <c r="D52" s="87" t="s">
        <v>472</v>
      </c>
      <c r="G52" s="76" t="s">
        <v>473</v>
      </c>
      <c r="H52" s="76"/>
      <c r="I52" s="76"/>
      <c r="J52" s="76">
        <v>3</v>
      </c>
      <c r="K52" s="76"/>
      <c r="L52" s="76"/>
      <c r="M52" s="76"/>
    </row>
    <row r="53" spans="1:14" ht="11.85" customHeight="1" x14ac:dyDescent="0.2">
      <c r="A53" s="75">
        <v>53</v>
      </c>
      <c r="B53" s="115">
        <v>537</v>
      </c>
      <c r="C53" s="76" t="s">
        <v>390</v>
      </c>
      <c r="D53" s="87" t="s">
        <v>474</v>
      </c>
      <c r="H53" s="76" t="s">
        <v>424</v>
      </c>
      <c r="I53" s="76"/>
      <c r="J53" s="76">
        <v>4</v>
      </c>
      <c r="K53" s="76"/>
      <c r="L53" s="76"/>
      <c r="M53" s="76"/>
    </row>
    <row r="54" spans="1:14" ht="11.85" customHeight="1" x14ac:dyDescent="0.2">
      <c r="A54" s="75">
        <v>54</v>
      </c>
      <c r="B54" s="115">
        <v>10317</v>
      </c>
      <c r="C54" s="76" t="s">
        <v>390</v>
      </c>
      <c r="D54" s="87" t="s">
        <v>475</v>
      </c>
      <c r="G54" s="76" t="s">
        <v>10</v>
      </c>
      <c r="H54" s="76"/>
      <c r="I54" s="76"/>
      <c r="J54" s="76">
        <v>3</v>
      </c>
      <c r="K54" s="76"/>
      <c r="L54" s="76"/>
      <c r="M54" s="76"/>
    </row>
    <row r="55" spans="1:14" ht="11.85" customHeight="1" x14ac:dyDescent="0.2">
      <c r="A55" s="75">
        <v>55</v>
      </c>
      <c r="B55" s="115">
        <v>10330</v>
      </c>
      <c r="C55" s="76" t="s">
        <v>390</v>
      </c>
      <c r="D55" s="87" t="s">
        <v>476</v>
      </c>
      <c r="H55" s="76" t="s">
        <v>477</v>
      </c>
      <c r="I55" s="76"/>
      <c r="J55" s="76">
        <v>4</v>
      </c>
      <c r="K55" s="76"/>
      <c r="L55" s="76"/>
      <c r="M55" s="76"/>
    </row>
    <row r="56" spans="1:14" ht="11.85" customHeight="1" x14ac:dyDescent="0.2">
      <c r="A56" s="75">
        <v>56</v>
      </c>
      <c r="B56" s="116">
        <v>684</v>
      </c>
      <c r="D56" s="87" t="s">
        <v>478</v>
      </c>
      <c r="I56" s="88" t="s">
        <v>65</v>
      </c>
      <c r="J56" s="88">
        <v>5</v>
      </c>
      <c r="K56" s="84" t="s">
        <v>359</v>
      </c>
      <c r="L56" s="83">
        <v>1</v>
      </c>
      <c r="M56" s="84" t="s">
        <v>923</v>
      </c>
      <c r="N56" s="90" t="s">
        <v>65</v>
      </c>
    </row>
    <row r="57" spans="1:14" ht="11.85" customHeight="1" x14ac:dyDescent="0.2">
      <c r="A57" s="75">
        <v>57</v>
      </c>
      <c r="B57" s="116">
        <v>691</v>
      </c>
      <c r="D57" s="87" t="s">
        <v>479</v>
      </c>
      <c r="I57" s="88" t="s">
        <v>66</v>
      </c>
      <c r="J57" s="88">
        <v>5</v>
      </c>
      <c r="K57" s="84" t="s">
        <v>359</v>
      </c>
      <c r="L57" s="83">
        <v>1</v>
      </c>
      <c r="M57" s="84" t="s">
        <v>923</v>
      </c>
      <c r="N57" s="90" t="s">
        <v>66</v>
      </c>
    </row>
    <row r="58" spans="1:14" ht="11.85" customHeight="1" x14ac:dyDescent="0.2">
      <c r="A58" s="75">
        <v>58</v>
      </c>
      <c r="B58" s="116">
        <v>709</v>
      </c>
      <c r="D58" s="87" t="s">
        <v>480</v>
      </c>
      <c r="I58" s="88" t="s">
        <v>481</v>
      </c>
      <c r="J58" s="88">
        <v>5</v>
      </c>
      <c r="K58" s="84" t="s">
        <v>359</v>
      </c>
      <c r="L58" s="83">
        <v>1</v>
      </c>
      <c r="M58" s="84" t="s">
        <v>923</v>
      </c>
      <c r="N58" s="90" t="s">
        <v>481</v>
      </c>
    </row>
    <row r="59" spans="1:14" ht="11.85" customHeight="1" x14ac:dyDescent="0.2">
      <c r="A59" s="75">
        <v>59</v>
      </c>
      <c r="B59" s="116">
        <v>715</v>
      </c>
      <c r="D59" s="87" t="s">
        <v>482</v>
      </c>
      <c r="I59" s="88" t="s">
        <v>483</v>
      </c>
      <c r="J59" s="88">
        <v>5</v>
      </c>
      <c r="K59" s="84" t="s">
        <v>359</v>
      </c>
      <c r="L59" s="83">
        <v>1</v>
      </c>
      <c r="M59" s="84" t="s">
        <v>923</v>
      </c>
      <c r="N59" s="90" t="s">
        <v>483</v>
      </c>
    </row>
    <row r="60" spans="1:14" ht="11.85" customHeight="1" x14ac:dyDescent="0.2">
      <c r="A60" s="75">
        <v>60</v>
      </c>
      <c r="B60" s="116">
        <v>721</v>
      </c>
      <c r="D60" s="87" t="s">
        <v>484</v>
      </c>
      <c r="I60" s="88" t="s">
        <v>485</v>
      </c>
      <c r="J60" s="88">
        <v>5</v>
      </c>
      <c r="K60" s="84" t="s">
        <v>359</v>
      </c>
      <c r="L60" s="83">
        <v>1</v>
      </c>
      <c r="M60" s="84" t="s">
        <v>923</v>
      </c>
      <c r="N60" s="90" t="s">
        <v>485</v>
      </c>
    </row>
    <row r="61" spans="1:14" ht="11.85" customHeight="1" x14ac:dyDescent="0.2">
      <c r="A61" s="75">
        <v>61</v>
      </c>
      <c r="B61" s="116">
        <v>4417</v>
      </c>
      <c r="D61" s="87" t="s">
        <v>486</v>
      </c>
      <c r="I61" s="88" t="s">
        <v>67</v>
      </c>
      <c r="J61" s="88">
        <v>5</v>
      </c>
      <c r="K61" s="84" t="s">
        <v>359</v>
      </c>
      <c r="L61" s="83">
        <v>1</v>
      </c>
      <c r="M61" s="84" t="s">
        <v>923</v>
      </c>
      <c r="N61" s="90" t="s">
        <v>67</v>
      </c>
    </row>
    <row r="62" spans="1:14" ht="11.85" customHeight="1" x14ac:dyDescent="0.2">
      <c r="A62" s="75">
        <v>62</v>
      </c>
      <c r="B62" s="116">
        <v>8237</v>
      </c>
      <c r="D62" s="87" t="s">
        <v>487</v>
      </c>
      <c r="I62" s="88" t="s">
        <v>69</v>
      </c>
      <c r="J62" s="88">
        <v>5</v>
      </c>
      <c r="K62" s="84" t="s">
        <v>359</v>
      </c>
      <c r="L62" s="83">
        <v>1</v>
      </c>
      <c r="M62" s="84" t="s">
        <v>905</v>
      </c>
      <c r="N62" s="90" t="s">
        <v>69</v>
      </c>
    </row>
    <row r="63" spans="1:14" ht="11.85" customHeight="1" x14ac:dyDescent="0.2">
      <c r="A63" s="75">
        <v>63</v>
      </c>
      <c r="B63" s="116">
        <v>9403</v>
      </c>
      <c r="D63" s="87" t="s">
        <v>488</v>
      </c>
      <c r="I63" s="88" t="s">
        <v>68</v>
      </c>
      <c r="J63" s="88">
        <v>5</v>
      </c>
      <c r="K63" s="84" t="s">
        <v>359</v>
      </c>
      <c r="L63" s="83">
        <v>1</v>
      </c>
      <c r="M63" s="84" t="s">
        <v>923</v>
      </c>
      <c r="N63" s="90" t="s">
        <v>68</v>
      </c>
    </row>
    <row r="64" spans="1:14" ht="11.85" customHeight="1" x14ac:dyDescent="0.2">
      <c r="A64" s="75">
        <v>64</v>
      </c>
      <c r="B64" s="126">
        <v>9404</v>
      </c>
      <c r="C64" s="124"/>
      <c r="D64" s="125" t="s">
        <v>1257</v>
      </c>
      <c r="E64" s="124"/>
      <c r="F64" s="124"/>
      <c r="G64" s="124"/>
      <c r="H64" s="124"/>
      <c r="I64" s="123" t="s">
        <v>1258</v>
      </c>
      <c r="J64" s="88">
        <v>5</v>
      </c>
      <c r="K64" s="84" t="s">
        <v>359</v>
      </c>
      <c r="L64" s="83">
        <v>1</v>
      </c>
      <c r="M64" s="84" t="s">
        <v>923</v>
      </c>
      <c r="N64" s="90" t="s">
        <v>1258</v>
      </c>
    </row>
    <row r="65" spans="1:14" ht="11.85" customHeight="1" x14ac:dyDescent="0.2">
      <c r="A65" s="75">
        <v>65</v>
      </c>
      <c r="B65" s="115">
        <v>10346</v>
      </c>
      <c r="C65" s="76" t="s">
        <v>390</v>
      </c>
      <c r="D65" s="87" t="s">
        <v>489</v>
      </c>
      <c r="H65" s="76" t="s">
        <v>490</v>
      </c>
      <c r="I65" s="76"/>
      <c r="J65" s="76">
        <v>4</v>
      </c>
      <c r="K65" s="76"/>
      <c r="L65" s="76"/>
      <c r="M65" s="76"/>
    </row>
    <row r="66" spans="1:14" ht="11.85" customHeight="1" x14ac:dyDescent="0.2">
      <c r="A66" s="75">
        <v>66</v>
      </c>
      <c r="B66" s="116">
        <v>12776</v>
      </c>
      <c r="D66" s="87" t="s">
        <v>491</v>
      </c>
      <c r="I66" s="88" t="s">
        <v>492</v>
      </c>
      <c r="J66" s="88">
        <v>5</v>
      </c>
      <c r="K66" s="84" t="s">
        <v>359</v>
      </c>
      <c r="L66" s="83">
        <v>1</v>
      </c>
      <c r="M66" s="84" t="s">
        <v>885</v>
      </c>
      <c r="N66" s="90" t="s">
        <v>446</v>
      </c>
    </row>
    <row r="67" spans="1:14" ht="11.85" customHeight="1" x14ac:dyDescent="0.2">
      <c r="A67" s="75">
        <v>67</v>
      </c>
      <c r="B67" s="116">
        <v>12888</v>
      </c>
      <c r="D67" s="87" t="s">
        <v>493</v>
      </c>
      <c r="I67" s="88" t="s">
        <v>494</v>
      </c>
      <c r="J67" s="88">
        <v>5</v>
      </c>
      <c r="K67" s="84" t="s">
        <v>359</v>
      </c>
      <c r="L67" s="83">
        <v>1</v>
      </c>
      <c r="M67" s="84" t="s">
        <v>885</v>
      </c>
      <c r="N67" s="90" t="s">
        <v>906</v>
      </c>
    </row>
    <row r="68" spans="1:14" ht="11.85" customHeight="1" x14ac:dyDescent="0.2">
      <c r="A68" s="75">
        <v>68</v>
      </c>
      <c r="B68" s="116">
        <v>13072</v>
      </c>
      <c r="D68" s="87" t="s">
        <v>495</v>
      </c>
      <c r="I68" s="88" t="s">
        <v>496</v>
      </c>
      <c r="J68" s="88">
        <v>5</v>
      </c>
      <c r="K68" s="84" t="s">
        <v>359</v>
      </c>
      <c r="L68" s="83">
        <v>1</v>
      </c>
      <c r="M68" s="84" t="s">
        <v>885</v>
      </c>
      <c r="N68" s="90" t="s">
        <v>448</v>
      </c>
    </row>
    <row r="69" spans="1:14" ht="11.85" customHeight="1" x14ac:dyDescent="0.2">
      <c r="A69" s="75">
        <v>69</v>
      </c>
      <c r="B69" s="116">
        <v>13089</v>
      </c>
      <c r="D69" s="87" t="s">
        <v>497</v>
      </c>
      <c r="I69" s="88" t="s">
        <v>498</v>
      </c>
      <c r="J69" s="88">
        <v>5</v>
      </c>
      <c r="K69" s="84" t="s">
        <v>359</v>
      </c>
      <c r="L69" s="83">
        <v>1</v>
      </c>
      <c r="M69" s="84" t="s">
        <v>885</v>
      </c>
      <c r="N69" s="90" t="s">
        <v>450</v>
      </c>
    </row>
    <row r="70" spans="1:14" ht="11.85" customHeight="1" x14ac:dyDescent="0.2">
      <c r="A70" s="75">
        <v>70</v>
      </c>
      <c r="B70" s="116">
        <v>13095</v>
      </c>
      <c r="D70" s="87" t="s">
        <v>499</v>
      </c>
      <c r="I70" s="88" t="s">
        <v>500</v>
      </c>
      <c r="J70" s="88">
        <v>5</v>
      </c>
      <c r="K70" s="84" t="s">
        <v>359</v>
      </c>
      <c r="L70" s="83">
        <v>1</v>
      </c>
      <c r="M70" s="84" t="s">
        <v>885</v>
      </c>
      <c r="N70" s="90" t="s">
        <v>907</v>
      </c>
    </row>
    <row r="71" spans="1:14" ht="11.85" customHeight="1" x14ac:dyDescent="0.2">
      <c r="A71" s="75">
        <v>71</v>
      </c>
      <c r="B71" s="116">
        <v>13103</v>
      </c>
      <c r="D71" s="87" t="s">
        <v>501</v>
      </c>
      <c r="I71" s="88" t="s">
        <v>502</v>
      </c>
      <c r="J71" s="88">
        <v>5</v>
      </c>
      <c r="K71" s="84" t="s">
        <v>359</v>
      </c>
      <c r="L71" s="83">
        <v>1</v>
      </c>
      <c r="M71" s="84" t="s">
        <v>885</v>
      </c>
      <c r="N71" s="90" t="s">
        <v>908</v>
      </c>
    </row>
    <row r="72" spans="1:14" ht="11.85" customHeight="1" x14ac:dyDescent="0.2">
      <c r="A72" s="75">
        <v>72</v>
      </c>
      <c r="B72" s="116">
        <v>13110</v>
      </c>
      <c r="D72" s="87" t="s">
        <v>503</v>
      </c>
      <c r="I72" s="88" t="s">
        <v>504</v>
      </c>
      <c r="J72" s="88">
        <v>5</v>
      </c>
      <c r="K72" s="84" t="s">
        <v>359</v>
      </c>
      <c r="L72" s="83">
        <v>1</v>
      </c>
      <c r="M72" s="84" t="s">
        <v>885</v>
      </c>
      <c r="N72" s="90" t="s">
        <v>909</v>
      </c>
    </row>
    <row r="73" spans="1:14" ht="11.85" customHeight="1" x14ac:dyDescent="0.2">
      <c r="A73" s="75">
        <v>73</v>
      </c>
      <c r="B73" s="116">
        <v>13126</v>
      </c>
      <c r="D73" s="87" t="s">
        <v>505</v>
      </c>
      <c r="I73" s="88" t="s">
        <v>506</v>
      </c>
      <c r="J73" s="88">
        <v>5</v>
      </c>
      <c r="K73" s="84" t="s">
        <v>359</v>
      </c>
      <c r="L73" s="83">
        <v>1</v>
      </c>
      <c r="M73" s="84" t="s">
        <v>885</v>
      </c>
      <c r="N73" s="90" t="s">
        <v>910</v>
      </c>
    </row>
    <row r="74" spans="1:14" ht="11.85" customHeight="1" x14ac:dyDescent="0.2">
      <c r="A74" s="75">
        <v>74</v>
      </c>
      <c r="B74" s="116">
        <v>13132</v>
      </c>
      <c r="D74" s="87" t="s">
        <v>507</v>
      </c>
      <c r="I74" s="88" t="s">
        <v>508</v>
      </c>
      <c r="J74" s="88">
        <v>5</v>
      </c>
      <c r="K74" s="84" t="s">
        <v>359</v>
      </c>
      <c r="L74" s="83">
        <v>1</v>
      </c>
      <c r="M74" s="84" t="s">
        <v>885</v>
      </c>
      <c r="N74" s="90" t="s">
        <v>911</v>
      </c>
    </row>
    <row r="75" spans="1:14" ht="11.85" customHeight="1" x14ac:dyDescent="0.2">
      <c r="A75" s="75">
        <v>75</v>
      </c>
      <c r="B75" s="116">
        <v>13149</v>
      </c>
      <c r="D75" s="87" t="s">
        <v>509</v>
      </c>
      <c r="I75" s="88" t="s">
        <v>510</v>
      </c>
      <c r="J75" s="88">
        <v>5</v>
      </c>
      <c r="K75" s="84" t="s">
        <v>359</v>
      </c>
      <c r="L75" s="83">
        <v>1</v>
      </c>
      <c r="M75" s="84" t="s">
        <v>885</v>
      </c>
      <c r="N75" s="90" t="s">
        <v>912</v>
      </c>
    </row>
    <row r="76" spans="1:14" ht="11.85" customHeight="1" x14ac:dyDescent="0.2">
      <c r="A76" s="75">
        <v>76</v>
      </c>
      <c r="B76" s="116">
        <v>13155</v>
      </c>
      <c r="D76" s="87" t="s">
        <v>511</v>
      </c>
      <c r="I76" s="88" t="s">
        <v>512</v>
      </c>
      <c r="J76" s="88">
        <v>5</v>
      </c>
      <c r="K76" s="84" t="s">
        <v>359</v>
      </c>
      <c r="L76" s="83">
        <v>1</v>
      </c>
      <c r="M76" s="84" t="s">
        <v>885</v>
      </c>
      <c r="N76" s="90" t="s">
        <v>452</v>
      </c>
    </row>
    <row r="77" spans="1:14" ht="11.85" customHeight="1" x14ac:dyDescent="0.2">
      <c r="A77" s="75">
        <v>77</v>
      </c>
      <c r="B77" s="116">
        <v>13161</v>
      </c>
      <c r="D77" s="87" t="s">
        <v>513</v>
      </c>
      <c r="I77" s="88" t="s">
        <v>514</v>
      </c>
      <c r="J77" s="88">
        <v>5</v>
      </c>
      <c r="K77" s="84" t="s">
        <v>359</v>
      </c>
      <c r="L77" s="83">
        <v>1</v>
      </c>
      <c r="M77" s="84" t="s">
        <v>885</v>
      </c>
      <c r="N77" s="90" t="s">
        <v>913</v>
      </c>
    </row>
    <row r="78" spans="1:14" ht="11.85" customHeight="1" x14ac:dyDescent="0.2">
      <c r="A78" s="75">
        <v>78</v>
      </c>
      <c r="B78" s="115">
        <v>10352</v>
      </c>
      <c r="C78" s="76" t="s">
        <v>390</v>
      </c>
      <c r="D78" s="87" t="s">
        <v>515</v>
      </c>
      <c r="H78" s="76" t="s">
        <v>516</v>
      </c>
      <c r="I78" s="76"/>
      <c r="J78" s="76">
        <v>4</v>
      </c>
      <c r="K78" s="76"/>
      <c r="L78" s="76"/>
      <c r="M78" s="76"/>
    </row>
    <row r="79" spans="1:14" ht="11.85" customHeight="1" x14ac:dyDescent="0.2">
      <c r="A79" s="75">
        <v>79</v>
      </c>
      <c r="B79" s="116">
        <v>8238</v>
      </c>
      <c r="D79" s="87" t="s">
        <v>518</v>
      </c>
      <c r="I79" s="88" t="s">
        <v>519</v>
      </c>
      <c r="J79" s="88">
        <v>5</v>
      </c>
      <c r="K79" s="84" t="s">
        <v>359</v>
      </c>
      <c r="L79" s="83">
        <v>1</v>
      </c>
      <c r="M79" s="84" t="s">
        <v>904</v>
      </c>
      <c r="N79" s="90" t="s">
        <v>519</v>
      </c>
    </row>
    <row r="80" spans="1:14" ht="11.85" customHeight="1" x14ac:dyDescent="0.2">
      <c r="A80" s="75">
        <v>80</v>
      </c>
      <c r="B80" s="116">
        <v>8239</v>
      </c>
      <c r="D80" s="87" t="s">
        <v>520</v>
      </c>
      <c r="I80" s="88" t="s">
        <v>521</v>
      </c>
      <c r="J80" s="88">
        <v>5</v>
      </c>
      <c r="K80" s="84" t="s">
        <v>359</v>
      </c>
      <c r="L80" s="83">
        <v>1</v>
      </c>
      <c r="M80" s="84" t="s">
        <v>904</v>
      </c>
      <c r="N80" s="90" t="s">
        <v>521</v>
      </c>
    </row>
    <row r="81" spans="1:14" ht="11.85" customHeight="1" x14ac:dyDescent="0.2">
      <c r="A81" s="75">
        <v>81</v>
      </c>
      <c r="B81" s="116">
        <v>8240</v>
      </c>
      <c r="D81" s="87" t="s">
        <v>1246</v>
      </c>
      <c r="I81" s="88" t="s">
        <v>1245</v>
      </c>
      <c r="J81" s="88">
        <v>5</v>
      </c>
      <c r="K81" s="84" t="s">
        <v>359</v>
      </c>
      <c r="L81" s="83">
        <v>1</v>
      </c>
      <c r="M81" s="84" t="s">
        <v>904</v>
      </c>
      <c r="N81" s="90" t="s">
        <v>1245</v>
      </c>
    </row>
    <row r="82" spans="1:14" ht="11.85" customHeight="1" x14ac:dyDescent="0.2">
      <c r="A82" s="75">
        <v>82</v>
      </c>
      <c r="B82" s="115">
        <v>10323</v>
      </c>
      <c r="C82" s="76" t="s">
        <v>390</v>
      </c>
      <c r="D82" s="87" t="s">
        <v>522</v>
      </c>
      <c r="G82" s="76" t="s">
        <v>523</v>
      </c>
      <c r="H82" s="76"/>
      <c r="I82" s="76"/>
      <c r="J82" s="76">
        <v>3</v>
      </c>
      <c r="K82" s="76"/>
      <c r="L82" s="76"/>
      <c r="M82" s="76"/>
    </row>
    <row r="83" spans="1:14" ht="11.85" customHeight="1" x14ac:dyDescent="0.2">
      <c r="A83" s="75">
        <v>83</v>
      </c>
      <c r="B83" s="116">
        <v>10302</v>
      </c>
      <c r="D83" s="87" t="s">
        <v>524</v>
      </c>
      <c r="I83" s="88" t="s">
        <v>525</v>
      </c>
      <c r="J83" s="88">
        <v>5</v>
      </c>
      <c r="K83" s="84" t="s">
        <v>359</v>
      </c>
      <c r="L83" s="83">
        <v>1</v>
      </c>
      <c r="M83" s="84" t="s">
        <v>923</v>
      </c>
      <c r="N83" s="90" t="s">
        <v>525</v>
      </c>
    </row>
    <row r="84" spans="1:14" ht="11.85" customHeight="1" x14ac:dyDescent="0.2">
      <c r="A84" s="75">
        <v>84</v>
      </c>
      <c r="B84" s="115">
        <v>10324</v>
      </c>
      <c r="C84" s="76" t="s">
        <v>390</v>
      </c>
      <c r="D84" s="87" t="s">
        <v>526</v>
      </c>
      <c r="H84" s="76" t="s">
        <v>523</v>
      </c>
      <c r="I84" s="76"/>
      <c r="J84" s="76">
        <v>4</v>
      </c>
      <c r="K84" s="76"/>
      <c r="L84" s="76"/>
      <c r="M84" s="76"/>
    </row>
    <row r="85" spans="1:14" ht="11.85" customHeight="1" x14ac:dyDescent="0.2">
      <c r="A85" s="75">
        <v>85</v>
      </c>
      <c r="B85" s="115">
        <v>833</v>
      </c>
      <c r="C85" s="76" t="s">
        <v>390</v>
      </c>
      <c r="D85" s="87" t="s">
        <v>527</v>
      </c>
      <c r="E85" s="76" t="s">
        <v>528</v>
      </c>
      <c r="F85" s="76"/>
      <c r="G85" s="76"/>
      <c r="H85" s="76"/>
      <c r="I85" s="76"/>
      <c r="J85" s="76">
        <v>1</v>
      </c>
      <c r="K85" s="76"/>
      <c r="L85" s="76"/>
      <c r="M85" s="76"/>
    </row>
    <row r="86" spans="1:14" ht="11.85" customHeight="1" x14ac:dyDescent="0.2">
      <c r="A86" s="75">
        <v>86</v>
      </c>
      <c r="B86" s="115">
        <v>840</v>
      </c>
      <c r="C86" s="76" t="s">
        <v>390</v>
      </c>
      <c r="D86" s="87" t="s">
        <v>371</v>
      </c>
      <c r="F86" s="76" t="s">
        <v>529</v>
      </c>
      <c r="G86" s="76"/>
      <c r="H86" s="76"/>
      <c r="I86" s="76"/>
      <c r="J86" s="76">
        <v>2</v>
      </c>
      <c r="K86" s="76"/>
      <c r="L86" s="76"/>
      <c r="M86" s="76"/>
    </row>
    <row r="87" spans="1:14" ht="11.85" customHeight="1" x14ac:dyDescent="0.2">
      <c r="A87" s="75">
        <v>87</v>
      </c>
      <c r="B87" s="115">
        <v>856</v>
      </c>
      <c r="C87" s="76" t="s">
        <v>390</v>
      </c>
      <c r="D87" s="87" t="s">
        <v>530</v>
      </c>
      <c r="G87" s="76" t="s">
        <v>531</v>
      </c>
      <c r="H87" s="76"/>
      <c r="I87" s="76"/>
      <c r="J87" s="76">
        <v>3</v>
      </c>
      <c r="K87" s="76"/>
      <c r="L87" s="76"/>
      <c r="M87" s="76"/>
    </row>
    <row r="88" spans="1:14" ht="11.85" customHeight="1" x14ac:dyDescent="0.2">
      <c r="A88" s="75">
        <v>88</v>
      </c>
      <c r="B88" s="115">
        <v>885</v>
      </c>
      <c r="C88" s="76" t="s">
        <v>390</v>
      </c>
      <c r="D88" s="87" t="s">
        <v>533</v>
      </c>
      <c r="G88" s="76" t="s">
        <v>534</v>
      </c>
      <c r="H88" s="76"/>
      <c r="I88" s="76"/>
      <c r="J88" s="76">
        <v>3</v>
      </c>
      <c r="K88" s="76"/>
      <c r="L88" s="76"/>
      <c r="M88" s="76"/>
    </row>
    <row r="89" spans="1:14" ht="11.85" customHeight="1" x14ac:dyDescent="0.2">
      <c r="A89" s="75">
        <v>89</v>
      </c>
      <c r="B89" s="115">
        <v>891</v>
      </c>
      <c r="C89" s="76" t="s">
        <v>390</v>
      </c>
      <c r="D89" s="87" t="s">
        <v>337</v>
      </c>
      <c r="H89" s="76" t="s">
        <v>535</v>
      </c>
      <c r="I89" s="76"/>
      <c r="J89" s="76">
        <v>4</v>
      </c>
      <c r="K89" s="76"/>
      <c r="L89" s="76"/>
      <c r="M89" s="76"/>
    </row>
    <row r="90" spans="1:14" ht="11.85" customHeight="1" x14ac:dyDescent="0.2">
      <c r="A90" s="75">
        <v>90</v>
      </c>
      <c r="B90" s="116">
        <v>7999</v>
      </c>
      <c r="D90" s="87" t="s">
        <v>536</v>
      </c>
      <c r="I90" s="88" t="s">
        <v>537</v>
      </c>
      <c r="J90" s="88">
        <v>5</v>
      </c>
      <c r="K90" s="84" t="s">
        <v>359</v>
      </c>
      <c r="L90" s="83">
        <v>1</v>
      </c>
      <c r="M90" s="84" t="s">
        <v>362</v>
      </c>
      <c r="N90" s="90" t="s">
        <v>537</v>
      </c>
    </row>
    <row r="91" spans="1:14" ht="11.85" customHeight="1" x14ac:dyDescent="0.2">
      <c r="A91" s="75">
        <v>91</v>
      </c>
      <c r="B91" s="116">
        <v>172</v>
      </c>
      <c r="D91" s="87" t="s">
        <v>538</v>
      </c>
      <c r="I91" s="88" t="s">
        <v>539</v>
      </c>
      <c r="J91" s="88">
        <v>5</v>
      </c>
      <c r="K91" s="84" t="s">
        <v>359</v>
      </c>
      <c r="L91" s="83">
        <v>1</v>
      </c>
      <c r="M91" s="84" t="s">
        <v>362</v>
      </c>
      <c r="N91" s="90" t="s">
        <v>539</v>
      </c>
    </row>
    <row r="92" spans="1:14" ht="11.85" customHeight="1" x14ac:dyDescent="0.2">
      <c r="A92" s="75">
        <v>92</v>
      </c>
      <c r="B92" s="116">
        <v>173</v>
      </c>
      <c r="D92" s="87" t="s">
        <v>338</v>
      </c>
      <c r="I92" s="88" t="s">
        <v>316</v>
      </c>
      <c r="J92" s="88">
        <v>5</v>
      </c>
      <c r="K92" s="84" t="s">
        <v>359</v>
      </c>
      <c r="L92" s="83">
        <v>1</v>
      </c>
      <c r="M92" s="84" t="s">
        <v>362</v>
      </c>
      <c r="N92" s="90" t="s">
        <v>316</v>
      </c>
    </row>
    <row r="93" spans="1:14" ht="11.85" customHeight="1" x14ac:dyDescent="0.2">
      <c r="A93" s="75">
        <v>93</v>
      </c>
      <c r="B93" s="116">
        <v>176</v>
      </c>
      <c r="D93" s="87" t="s">
        <v>339</v>
      </c>
      <c r="I93" s="88" t="s">
        <v>540</v>
      </c>
      <c r="J93" s="88">
        <v>5</v>
      </c>
      <c r="K93" s="84" t="s">
        <v>359</v>
      </c>
      <c r="L93" s="83">
        <v>1</v>
      </c>
      <c r="M93" s="84" t="s">
        <v>362</v>
      </c>
      <c r="N93" s="90" t="s">
        <v>540</v>
      </c>
    </row>
    <row r="94" spans="1:14" ht="11.85" customHeight="1" x14ac:dyDescent="0.2">
      <c r="A94" s="75">
        <v>94</v>
      </c>
      <c r="B94" s="116">
        <v>177</v>
      </c>
      <c r="D94" s="87" t="s">
        <v>380</v>
      </c>
      <c r="I94" s="88" t="s">
        <v>541</v>
      </c>
      <c r="J94" s="88">
        <v>5</v>
      </c>
      <c r="K94" s="84" t="s">
        <v>359</v>
      </c>
      <c r="L94" s="83">
        <v>1</v>
      </c>
      <c r="M94" s="84" t="s">
        <v>362</v>
      </c>
      <c r="N94" s="90" t="s">
        <v>537</v>
      </c>
    </row>
    <row r="95" spans="1:14" ht="11.85" customHeight="1" x14ac:dyDescent="0.2">
      <c r="A95" s="75">
        <v>95</v>
      </c>
      <c r="B95" s="114">
        <v>178</v>
      </c>
      <c r="D95" s="87" t="s">
        <v>1249</v>
      </c>
      <c r="I95" s="88" t="s">
        <v>1248</v>
      </c>
      <c r="J95" s="88">
        <v>5</v>
      </c>
      <c r="K95" s="84" t="s">
        <v>359</v>
      </c>
      <c r="L95" s="83">
        <v>1</v>
      </c>
      <c r="M95" s="84" t="s">
        <v>362</v>
      </c>
      <c r="N95" s="90" t="s">
        <v>1248</v>
      </c>
    </row>
    <row r="96" spans="1:14" ht="11.85" customHeight="1" x14ac:dyDescent="0.2">
      <c r="A96" s="75">
        <v>96</v>
      </c>
      <c r="B96" s="115">
        <v>900</v>
      </c>
      <c r="C96" s="76" t="s">
        <v>390</v>
      </c>
      <c r="D96" s="87" t="s">
        <v>542</v>
      </c>
      <c r="H96" s="76" t="s">
        <v>543</v>
      </c>
      <c r="I96" s="76"/>
      <c r="J96" s="76">
        <v>4</v>
      </c>
      <c r="K96" s="76"/>
      <c r="L96" s="76"/>
      <c r="M96" s="76"/>
    </row>
    <row r="97" spans="1:14" ht="11.85" customHeight="1" x14ac:dyDescent="0.2">
      <c r="A97" s="75">
        <v>97</v>
      </c>
      <c r="B97" s="115">
        <v>916</v>
      </c>
      <c r="C97" s="76" t="s">
        <v>390</v>
      </c>
      <c r="D97" s="87" t="s">
        <v>544</v>
      </c>
      <c r="G97" s="76" t="s">
        <v>11</v>
      </c>
      <c r="H97" s="76"/>
      <c r="I97" s="76"/>
      <c r="J97" s="76">
        <v>3</v>
      </c>
      <c r="K97" s="76"/>
      <c r="L97" s="76"/>
      <c r="M97" s="76"/>
    </row>
    <row r="98" spans="1:14" ht="11.85" customHeight="1" x14ac:dyDescent="0.2">
      <c r="A98" s="75">
        <v>98</v>
      </c>
      <c r="B98" s="115">
        <v>922</v>
      </c>
      <c r="C98" s="76" t="s">
        <v>390</v>
      </c>
      <c r="D98" s="87" t="s">
        <v>12</v>
      </c>
      <c r="H98" s="76" t="s">
        <v>545</v>
      </c>
      <c r="I98" s="76"/>
      <c r="J98" s="76">
        <v>4</v>
      </c>
      <c r="K98" s="76"/>
      <c r="L98" s="76"/>
      <c r="M98" s="76"/>
    </row>
    <row r="99" spans="1:14" ht="11.85" customHeight="1" x14ac:dyDescent="0.2">
      <c r="A99" s="75">
        <v>99</v>
      </c>
      <c r="B99" s="116">
        <v>981</v>
      </c>
      <c r="D99" s="87" t="s">
        <v>13</v>
      </c>
      <c r="I99" s="88" t="s">
        <v>70</v>
      </c>
      <c r="J99" s="88">
        <v>5</v>
      </c>
      <c r="K99" s="84" t="s">
        <v>367</v>
      </c>
      <c r="L99" s="83">
        <v>7</v>
      </c>
      <c r="M99" s="84" t="s">
        <v>363</v>
      </c>
      <c r="N99" s="90" t="s">
        <v>70</v>
      </c>
    </row>
    <row r="100" spans="1:14" ht="11.85" customHeight="1" x14ac:dyDescent="0.2">
      <c r="A100" s="75">
        <v>100</v>
      </c>
      <c r="B100" s="116">
        <v>7568</v>
      </c>
      <c r="D100" s="87" t="s">
        <v>14</v>
      </c>
      <c r="I100" s="88" t="s">
        <v>71</v>
      </c>
      <c r="J100" s="88">
        <v>5</v>
      </c>
      <c r="K100" s="84" t="s">
        <v>367</v>
      </c>
      <c r="L100" s="83">
        <v>7</v>
      </c>
      <c r="M100" s="84" t="s">
        <v>363</v>
      </c>
      <c r="N100" s="90" t="s">
        <v>71</v>
      </c>
    </row>
    <row r="101" spans="1:14" ht="11.85" customHeight="1" x14ac:dyDescent="0.2">
      <c r="A101" s="75">
        <v>101</v>
      </c>
      <c r="B101" s="116">
        <v>9308</v>
      </c>
      <c r="D101" s="87" t="s">
        <v>15</v>
      </c>
      <c r="I101" s="88" t="s">
        <v>546</v>
      </c>
      <c r="J101" s="88">
        <v>5</v>
      </c>
      <c r="K101" s="84" t="s">
        <v>367</v>
      </c>
      <c r="L101" s="83">
        <v>7</v>
      </c>
      <c r="M101" s="84" t="s">
        <v>363</v>
      </c>
      <c r="N101" s="90" t="s">
        <v>546</v>
      </c>
    </row>
    <row r="102" spans="1:14" ht="11.85" customHeight="1" x14ac:dyDescent="0.2">
      <c r="A102" s="75">
        <v>102</v>
      </c>
      <c r="B102" s="116">
        <v>9484</v>
      </c>
      <c r="D102" s="87" t="s">
        <v>16</v>
      </c>
      <c r="I102" s="88" t="s">
        <v>381</v>
      </c>
      <c r="J102" s="88">
        <v>5</v>
      </c>
      <c r="K102" s="84" t="s">
        <v>367</v>
      </c>
      <c r="L102" s="83">
        <v>7</v>
      </c>
      <c r="M102" s="84" t="s">
        <v>363</v>
      </c>
      <c r="N102" s="90" t="s">
        <v>381</v>
      </c>
    </row>
    <row r="103" spans="1:14" ht="11.85" customHeight="1" x14ac:dyDescent="0.2">
      <c r="A103" s="75">
        <v>103</v>
      </c>
      <c r="B103" s="116">
        <v>9604</v>
      </c>
      <c r="D103" s="87" t="s">
        <v>17</v>
      </c>
      <c r="I103" s="88" t="s">
        <v>72</v>
      </c>
      <c r="J103" s="88">
        <v>5</v>
      </c>
      <c r="K103" s="84" t="s">
        <v>367</v>
      </c>
      <c r="L103" s="83">
        <v>7</v>
      </c>
      <c r="M103" s="84" t="s">
        <v>363</v>
      </c>
      <c r="N103" s="90" t="s">
        <v>915</v>
      </c>
    </row>
    <row r="104" spans="1:14" ht="11.85" customHeight="1" x14ac:dyDescent="0.2">
      <c r="A104" s="75">
        <v>104</v>
      </c>
      <c r="B104" s="126">
        <v>9605</v>
      </c>
      <c r="C104" s="124"/>
      <c r="D104" s="125" t="s">
        <v>1259</v>
      </c>
      <c r="E104" s="124"/>
      <c r="F104" s="124"/>
      <c r="G104" s="124"/>
      <c r="H104" s="124"/>
      <c r="I104" s="123" t="s">
        <v>1260</v>
      </c>
      <c r="J104" s="88">
        <v>5</v>
      </c>
      <c r="K104" s="84" t="s">
        <v>367</v>
      </c>
      <c r="L104" s="83">
        <v>7</v>
      </c>
      <c r="M104" s="84" t="s">
        <v>363</v>
      </c>
      <c r="N104" s="90" t="s">
        <v>1260</v>
      </c>
    </row>
    <row r="105" spans="1:14" ht="11.85" customHeight="1" x14ac:dyDescent="0.2">
      <c r="A105" s="75">
        <v>105</v>
      </c>
      <c r="B105" s="115">
        <v>997</v>
      </c>
      <c r="C105" s="76" t="s">
        <v>390</v>
      </c>
      <c r="D105" s="87" t="s">
        <v>547</v>
      </c>
      <c r="H105" s="76" t="s">
        <v>548</v>
      </c>
      <c r="I105" s="76"/>
      <c r="J105" s="76">
        <v>4</v>
      </c>
      <c r="K105" s="76"/>
      <c r="L105" s="76"/>
      <c r="M105" s="76"/>
    </row>
    <row r="106" spans="1:14" ht="11.85" customHeight="1" x14ac:dyDescent="0.2">
      <c r="A106" s="75">
        <v>106</v>
      </c>
      <c r="B106" s="116">
        <v>1005</v>
      </c>
      <c r="D106" s="87" t="s">
        <v>18</v>
      </c>
      <c r="I106" s="88" t="s">
        <v>73</v>
      </c>
      <c r="J106" s="88">
        <v>5</v>
      </c>
      <c r="K106" s="82" t="s">
        <v>367</v>
      </c>
      <c r="L106" s="83">
        <v>7</v>
      </c>
      <c r="M106" s="82" t="s">
        <v>368</v>
      </c>
      <c r="N106" s="90" t="s">
        <v>73</v>
      </c>
    </row>
    <row r="107" spans="1:14" ht="11.85" customHeight="1" x14ac:dyDescent="0.2">
      <c r="A107" s="75">
        <v>107</v>
      </c>
      <c r="B107" s="116">
        <v>1011</v>
      </c>
      <c r="D107" s="87" t="s">
        <v>19</v>
      </c>
      <c r="I107" s="88" t="s">
        <v>74</v>
      </c>
      <c r="J107" s="88">
        <v>5</v>
      </c>
      <c r="K107" s="82" t="s">
        <v>367</v>
      </c>
      <c r="L107" s="83">
        <v>7</v>
      </c>
      <c r="M107" s="82" t="s">
        <v>368</v>
      </c>
      <c r="N107" s="90" t="s">
        <v>74</v>
      </c>
    </row>
    <row r="108" spans="1:14" ht="11.85" customHeight="1" x14ac:dyDescent="0.2">
      <c r="A108" s="75">
        <v>108</v>
      </c>
      <c r="B108" s="116">
        <v>7551</v>
      </c>
      <c r="D108" s="87" t="s">
        <v>20</v>
      </c>
      <c r="I108" s="88" t="s">
        <v>549</v>
      </c>
      <c r="J108" s="88">
        <v>5</v>
      </c>
      <c r="K108" s="82" t="s">
        <v>367</v>
      </c>
      <c r="L108" s="83">
        <v>7</v>
      </c>
      <c r="M108" s="82" t="s">
        <v>368</v>
      </c>
      <c r="N108" s="90" t="s">
        <v>914</v>
      </c>
    </row>
    <row r="109" spans="1:14" ht="11.85" customHeight="1" x14ac:dyDescent="0.2">
      <c r="A109" s="75">
        <v>109</v>
      </c>
      <c r="B109" s="116">
        <v>8645</v>
      </c>
      <c r="D109" s="87" t="s">
        <v>21</v>
      </c>
      <c r="I109" s="88" t="s">
        <v>550</v>
      </c>
      <c r="J109" s="88">
        <v>5</v>
      </c>
      <c r="K109" s="82" t="s">
        <v>367</v>
      </c>
      <c r="L109" s="83">
        <v>7</v>
      </c>
      <c r="M109" s="82" t="s">
        <v>368</v>
      </c>
      <c r="N109" s="90" t="s">
        <v>921</v>
      </c>
    </row>
    <row r="110" spans="1:14" ht="11.85" customHeight="1" x14ac:dyDescent="0.2">
      <c r="A110" s="75">
        <v>110</v>
      </c>
      <c r="B110" s="116">
        <v>8941</v>
      </c>
      <c r="D110" s="87" t="s">
        <v>551</v>
      </c>
      <c r="I110" s="88" t="s">
        <v>552</v>
      </c>
      <c r="J110" s="88">
        <v>5</v>
      </c>
      <c r="K110" s="82" t="s">
        <v>367</v>
      </c>
      <c r="L110" s="83">
        <v>7</v>
      </c>
      <c r="M110" s="82" t="s">
        <v>368</v>
      </c>
      <c r="N110" s="90" t="s">
        <v>914</v>
      </c>
    </row>
    <row r="111" spans="1:14" ht="11.85" customHeight="1" x14ac:dyDescent="0.2">
      <c r="A111" s="75">
        <v>111</v>
      </c>
      <c r="B111" s="115">
        <v>1101</v>
      </c>
      <c r="C111" s="76" t="s">
        <v>390</v>
      </c>
      <c r="D111" s="87" t="s">
        <v>22</v>
      </c>
      <c r="G111" s="76" t="s">
        <v>23</v>
      </c>
      <c r="H111" s="76"/>
      <c r="I111" s="76"/>
      <c r="J111" s="76">
        <v>3</v>
      </c>
      <c r="K111" s="76"/>
      <c r="L111" s="76"/>
      <c r="M111" s="76"/>
    </row>
    <row r="112" spans="1:14" ht="11.85" customHeight="1" x14ac:dyDescent="0.2">
      <c r="A112" s="75">
        <v>112</v>
      </c>
      <c r="B112" s="115">
        <v>1117</v>
      </c>
      <c r="C112" s="76" t="s">
        <v>390</v>
      </c>
      <c r="D112" s="87" t="s">
        <v>553</v>
      </c>
      <c r="H112" s="76" t="s">
        <v>554</v>
      </c>
      <c r="I112" s="76"/>
      <c r="J112" s="76">
        <v>4</v>
      </c>
      <c r="K112" s="76"/>
      <c r="L112" s="76"/>
      <c r="M112" s="76"/>
    </row>
    <row r="113" spans="1:14" ht="11.85" customHeight="1" x14ac:dyDescent="0.2">
      <c r="A113" s="75">
        <v>113</v>
      </c>
      <c r="B113" s="116">
        <v>1123</v>
      </c>
      <c r="D113" s="87" t="s">
        <v>24</v>
      </c>
      <c r="I113" s="88" t="s">
        <v>379</v>
      </c>
      <c r="J113" s="88">
        <v>5</v>
      </c>
      <c r="K113" s="84" t="s">
        <v>367</v>
      </c>
      <c r="L113" s="83">
        <v>7</v>
      </c>
      <c r="M113" s="84" t="s">
        <v>364</v>
      </c>
      <c r="N113" s="90" t="s">
        <v>747</v>
      </c>
    </row>
    <row r="114" spans="1:14" ht="11.85" customHeight="1" x14ac:dyDescent="0.2">
      <c r="A114" s="75">
        <v>114</v>
      </c>
      <c r="B114" s="116">
        <v>1146</v>
      </c>
      <c r="D114" s="87" t="s">
        <v>25</v>
      </c>
      <c r="I114" s="88" t="s">
        <v>555</v>
      </c>
      <c r="J114" s="88">
        <v>5</v>
      </c>
      <c r="K114" s="84" t="s">
        <v>367</v>
      </c>
      <c r="L114" s="83">
        <v>7</v>
      </c>
      <c r="M114" s="84" t="s">
        <v>364</v>
      </c>
      <c r="N114" s="90" t="s">
        <v>749</v>
      </c>
    </row>
    <row r="115" spans="1:14" ht="11.85" customHeight="1" x14ac:dyDescent="0.2">
      <c r="A115" s="75">
        <v>115</v>
      </c>
      <c r="B115" s="126">
        <v>1124</v>
      </c>
      <c r="C115" s="124"/>
      <c r="D115" s="125" t="s">
        <v>1261</v>
      </c>
      <c r="E115" s="124"/>
      <c r="F115" s="124"/>
      <c r="G115" s="124"/>
      <c r="H115" s="124"/>
      <c r="I115" s="123" t="s">
        <v>1262</v>
      </c>
      <c r="J115" s="88">
        <v>5</v>
      </c>
      <c r="K115" s="84" t="s">
        <v>366</v>
      </c>
      <c r="L115" s="83">
        <v>6</v>
      </c>
      <c r="M115" s="84" t="s">
        <v>366</v>
      </c>
      <c r="N115" s="90" t="s">
        <v>706</v>
      </c>
    </row>
    <row r="116" spans="1:14" ht="11.85" customHeight="1" x14ac:dyDescent="0.2">
      <c r="A116" s="75">
        <v>116</v>
      </c>
      <c r="B116" s="115">
        <v>1324</v>
      </c>
      <c r="C116" s="76" t="s">
        <v>390</v>
      </c>
      <c r="D116" s="87" t="s">
        <v>373</v>
      </c>
      <c r="F116" s="76" t="s">
        <v>556</v>
      </c>
      <c r="G116" s="76"/>
      <c r="H116" s="76"/>
      <c r="I116" s="76"/>
      <c r="J116" s="76">
        <v>2</v>
      </c>
      <c r="K116" s="76"/>
      <c r="L116" s="76"/>
      <c r="M116" s="76"/>
    </row>
    <row r="117" spans="1:14" ht="11.85" customHeight="1" x14ac:dyDescent="0.2">
      <c r="A117" s="75">
        <v>117</v>
      </c>
      <c r="B117" s="115">
        <v>1331</v>
      </c>
      <c r="C117" s="76" t="s">
        <v>390</v>
      </c>
      <c r="D117" s="87" t="s">
        <v>557</v>
      </c>
      <c r="F117" s="76" t="s">
        <v>558</v>
      </c>
      <c r="G117" s="76"/>
      <c r="H117" s="76"/>
      <c r="I117" s="76"/>
      <c r="J117" s="76">
        <v>2</v>
      </c>
      <c r="K117" s="76"/>
      <c r="L117" s="76"/>
      <c r="M117" s="76"/>
    </row>
    <row r="118" spans="1:14" ht="11.85" customHeight="1" x14ac:dyDescent="0.2">
      <c r="A118" s="75">
        <v>118</v>
      </c>
      <c r="B118" s="115">
        <v>10375</v>
      </c>
      <c r="C118" s="76" t="s">
        <v>390</v>
      </c>
      <c r="D118" s="87" t="s">
        <v>559</v>
      </c>
      <c r="G118" s="76" t="s">
        <v>560</v>
      </c>
      <c r="H118" s="76"/>
      <c r="I118" s="76"/>
      <c r="J118" s="76">
        <v>3</v>
      </c>
      <c r="K118" s="76"/>
      <c r="L118" s="76"/>
      <c r="M118" s="76"/>
    </row>
    <row r="119" spans="1:14" ht="11.85" customHeight="1" x14ac:dyDescent="0.2">
      <c r="A119" s="75">
        <v>119</v>
      </c>
      <c r="B119" s="115">
        <v>10381</v>
      </c>
      <c r="C119" s="76" t="s">
        <v>390</v>
      </c>
      <c r="D119" s="87" t="s">
        <v>561</v>
      </c>
      <c r="H119" s="76" t="s">
        <v>560</v>
      </c>
      <c r="I119" s="76"/>
      <c r="J119" s="76">
        <v>4</v>
      </c>
      <c r="K119" s="76"/>
      <c r="L119" s="76"/>
      <c r="M119" s="76"/>
    </row>
    <row r="120" spans="1:14" ht="11.85" customHeight="1" x14ac:dyDescent="0.2">
      <c r="A120" s="75">
        <v>120</v>
      </c>
      <c r="B120" s="116">
        <v>1471</v>
      </c>
      <c r="D120" s="87" t="s">
        <v>562</v>
      </c>
      <c r="I120" s="88" t="s">
        <v>563</v>
      </c>
      <c r="J120" s="88">
        <v>5</v>
      </c>
      <c r="K120" s="88"/>
      <c r="L120" s="88"/>
      <c r="M120" s="88"/>
    </row>
    <row r="121" spans="1:14" ht="11.85" customHeight="1" x14ac:dyDescent="0.2">
      <c r="A121" s="75">
        <v>121</v>
      </c>
      <c r="B121" s="115">
        <v>1488</v>
      </c>
      <c r="C121" s="76" t="s">
        <v>390</v>
      </c>
      <c r="D121" s="87" t="s">
        <v>564</v>
      </c>
      <c r="E121" s="76" t="s">
        <v>565</v>
      </c>
      <c r="F121" s="76"/>
      <c r="G121" s="76"/>
      <c r="H121" s="76"/>
      <c r="I121" s="76"/>
      <c r="J121" s="76">
        <v>1</v>
      </c>
      <c r="K121" s="76"/>
      <c r="L121" s="76"/>
      <c r="M121" s="76"/>
    </row>
    <row r="122" spans="1:14" ht="11.85" customHeight="1" x14ac:dyDescent="0.2">
      <c r="A122" s="75">
        <v>122</v>
      </c>
      <c r="B122" s="115">
        <v>4498</v>
      </c>
      <c r="C122" s="76" t="s">
        <v>390</v>
      </c>
      <c r="D122" s="87" t="s">
        <v>374</v>
      </c>
      <c r="F122" s="76" t="s">
        <v>86</v>
      </c>
      <c r="G122" s="76"/>
      <c r="H122" s="76"/>
      <c r="I122" s="76"/>
      <c r="J122" s="76">
        <v>2</v>
      </c>
      <c r="K122" s="76"/>
      <c r="L122" s="76"/>
      <c r="M122" s="76"/>
    </row>
    <row r="123" spans="1:14" ht="11.85" customHeight="1" x14ac:dyDescent="0.2">
      <c r="A123" s="75">
        <v>123</v>
      </c>
      <c r="B123" s="115">
        <v>4506</v>
      </c>
      <c r="C123" s="76" t="s">
        <v>390</v>
      </c>
      <c r="D123" s="87" t="s">
        <v>26</v>
      </c>
      <c r="G123" s="76" t="s">
        <v>87</v>
      </c>
      <c r="H123" s="76"/>
      <c r="I123" s="76"/>
      <c r="J123" s="76">
        <v>3</v>
      </c>
      <c r="K123" s="76"/>
      <c r="L123" s="76"/>
      <c r="M123" s="76"/>
    </row>
    <row r="124" spans="1:14" ht="11.85" customHeight="1" x14ac:dyDescent="0.2">
      <c r="A124" s="75">
        <v>124</v>
      </c>
      <c r="B124" s="115">
        <v>4512</v>
      </c>
      <c r="C124" s="76" t="s">
        <v>390</v>
      </c>
      <c r="D124" s="87" t="s">
        <v>566</v>
      </c>
      <c r="H124" s="76" t="s">
        <v>567</v>
      </c>
      <c r="I124" s="76"/>
      <c r="J124" s="76">
        <v>4</v>
      </c>
      <c r="K124" s="76"/>
      <c r="L124" s="76"/>
      <c r="M124" s="76"/>
    </row>
    <row r="125" spans="1:14" ht="11.85" customHeight="1" x14ac:dyDescent="0.2">
      <c r="A125" s="75">
        <v>125</v>
      </c>
      <c r="B125" s="116">
        <v>4529</v>
      </c>
      <c r="D125" s="87" t="s">
        <v>27</v>
      </c>
      <c r="I125" s="88" t="s">
        <v>568</v>
      </c>
      <c r="J125" s="88">
        <v>5</v>
      </c>
      <c r="K125" s="84" t="s">
        <v>241</v>
      </c>
      <c r="L125" s="83">
        <v>2</v>
      </c>
      <c r="M125" s="84" t="s">
        <v>241</v>
      </c>
      <c r="N125" s="90" t="s">
        <v>568</v>
      </c>
    </row>
    <row r="126" spans="1:14" ht="11.85" customHeight="1" x14ac:dyDescent="0.2">
      <c r="A126" s="75">
        <v>126</v>
      </c>
      <c r="B126" s="116">
        <v>5457</v>
      </c>
      <c r="D126" s="87" t="s">
        <v>28</v>
      </c>
      <c r="I126" s="88" t="s">
        <v>569</v>
      </c>
      <c r="J126" s="88">
        <v>5</v>
      </c>
      <c r="K126" s="84" t="s">
        <v>241</v>
      </c>
      <c r="L126" s="83">
        <v>2</v>
      </c>
      <c r="M126" s="84" t="s">
        <v>241</v>
      </c>
      <c r="N126" s="90" t="s">
        <v>569</v>
      </c>
    </row>
    <row r="127" spans="1:14" ht="11.85" customHeight="1" x14ac:dyDescent="0.2">
      <c r="A127" s="75">
        <v>127</v>
      </c>
      <c r="B127" s="116">
        <v>4601</v>
      </c>
      <c r="D127" s="87" t="s">
        <v>29</v>
      </c>
      <c r="I127" s="88" t="s">
        <v>570</v>
      </c>
      <c r="J127" s="88">
        <v>5</v>
      </c>
      <c r="K127" s="84" t="s">
        <v>241</v>
      </c>
      <c r="L127" s="83">
        <v>2</v>
      </c>
      <c r="M127" s="84" t="s">
        <v>241</v>
      </c>
      <c r="N127" s="90" t="s">
        <v>570</v>
      </c>
    </row>
    <row r="128" spans="1:14" ht="11.85" customHeight="1" x14ac:dyDescent="0.2">
      <c r="A128" s="75">
        <v>128</v>
      </c>
      <c r="B128" s="116">
        <v>4602</v>
      </c>
      <c r="D128" s="87" t="s">
        <v>91</v>
      </c>
      <c r="I128" s="88" t="s">
        <v>571</v>
      </c>
      <c r="J128" s="88">
        <v>5</v>
      </c>
      <c r="K128" s="84" t="s">
        <v>241</v>
      </c>
      <c r="L128" s="83">
        <v>2</v>
      </c>
      <c r="M128" s="84" t="s">
        <v>241</v>
      </c>
      <c r="N128" s="90" t="s">
        <v>571</v>
      </c>
    </row>
    <row r="129" spans="1:14" ht="11.85" customHeight="1" x14ac:dyDescent="0.2">
      <c r="A129" s="75">
        <v>129</v>
      </c>
      <c r="B129" s="115">
        <v>4535</v>
      </c>
      <c r="C129" s="76" t="s">
        <v>390</v>
      </c>
      <c r="D129" s="87" t="s">
        <v>572</v>
      </c>
      <c r="H129" s="76" t="s">
        <v>573</v>
      </c>
      <c r="I129" s="76"/>
      <c r="J129" s="76">
        <v>4</v>
      </c>
      <c r="K129" s="76"/>
      <c r="L129" s="76"/>
      <c r="M129" s="76"/>
    </row>
    <row r="130" spans="1:14" ht="11.85" customHeight="1" x14ac:dyDescent="0.2">
      <c r="A130" s="75">
        <v>130</v>
      </c>
      <c r="B130" s="116">
        <v>4541</v>
      </c>
      <c r="D130" s="87" t="s">
        <v>574</v>
      </c>
      <c r="I130" s="88" t="s">
        <v>575</v>
      </c>
      <c r="J130" s="88">
        <v>5</v>
      </c>
      <c r="K130" s="84" t="s">
        <v>241</v>
      </c>
      <c r="L130" s="83">
        <v>2</v>
      </c>
      <c r="M130" s="84" t="s">
        <v>905</v>
      </c>
      <c r="N130" s="90" t="s">
        <v>575</v>
      </c>
    </row>
    <row r="131" spans="1:14" ht="11.85" customHeight="1" x14ac:dyDescent="0.2">
      <c r="A131" s="75">
        <v>131</v>
      </c>
      <c r="B131" s="116">
        <v>4593</v>
      </c>
      <c r="D131" s="87" t="s">
        <v>576</v>
      </c>
      <c r="I131" s="88" t="s">
        <v>577</v>
      </c>
      <c r="J131" s="88">
        <v>5</v>
      </c>
      <c r="K131" s="84" t="s">
        <v>241</v>
      </c>
      <c r="L131" s="83">
        <v>2</v>
      </c>
      <c r="M131" s="84" t="s">
        <v>924</v>
      </c>
      <c r="N131" s="90" t="s">
        <v>577</v>
      </c>
    </row>
    <row r="132" spans="1:14" ht="11.85" customHeight="1" x14ac:dyDescent="0.2">
      <c r="A132" s="75">
        <v>132</v>
      </c>
      <c r="B132" s="116">
        <v>5753</v>
      </c>
      <c r="D132" s="87" t="s">
        <v>578</v>
      </c>
      <c r="I132" s="88" t="s">
        <v>579</v>
      </c>
      <c r="J132" s="88">
        <v>5</v>
      </c>
      <c r="K132" s="84" t="s">
        <v>241</v>
      </c>
      <c r="L132" s="83">
        <v>2</v>
      </c>
      <c r="M132" s="84" t="s">
        <v>924</v>
      </c>
      <c r="N132" s="90" t="s">
        <v>579</v>
      </c>
    </row>
    <row r="133" spans="1:14" ht="11.85" customHeight="1" x14ac:dyDescent="0.2">
      <c r="A133" s="75">
        <v>133</v>
      </c>
      <c r="B133" s="116">
        <v>7396</v>
      </c>
      <c r="D133" s="87" t="s">
        <v>580</v>
      </c>
      <c r="I133" s="88" t="s">
        <v>581</v>
      </c>
      <c r="J133" s="88">
        <v>5</v>
      </c>
      <c r="K133" s="84" t="s">
        <v>241</v>
      </c>
      <c r="L133" s="83">
        <v>2</v>
      </c>
      <c r="M133" s="84" t="s">
        <v>904</v>
      </c>
      <c r="N133" s="90" t="s">
        <v>922</v>
      </c>
    </row>
    <row r="134" spans="1:14" ht="11.85" customHeight="1" x14ac:dyDescent="0.2">
      <c r="A134" s="75">
        <v>134</v>
      </c>
      <c r="B134" s="116">
        <v>7701</v>
      </c>
      <c r="D134" s="87" t="s">
        <v>582</v>
      </c>
      <c r="I134" s="88" t="s">
        <v>583</v>
      </c>
      <c r="J134" s="88">
        <v>5</v>
      </c>
      <c r="K134" s="84" t="s">
        <v>241</v>
      </c>
      <c r="L134" s="83">
        <v>2</v>
      </c>
      <c r="M134" s="84" t="s">
        <v>241</v>
      </c>
      <c r="N134" s="90" t="s">
        <v>583</v>
      </c>
    </row>
    <row r="135" spans="1:14" ht="11.85" customHeight="1" x14ac:dyDescent="0.2">
      <c r="A135" s="75">
        <v>135</v>
      </c>
      <c r="B135" s="116">
        <v>8102</v>
      </c>
      <c r="D135" s="87" t="s">
        <v>584</v>
      </c>
      <c r="I135" s="88" t="s">
        <v>585</v>
      </c>
      <c r="J135" s="88">
        <v>5</v>
      </c>
      <c r="K135" s="84" t="s">
        <v>241</v>
      </c>
      <c r="L135" s="83">
        <v>2</v>
      </c>
      <c r="M135" s="84" t="s">
        <v>904</v>
      </c>
      <c r="N135" s="90" t="s">
        <v>919</v>
      </c>
    </row>
    <row r="136" spans="1:14" ht="11.85" customHeight="1" x14ac:dyDescent="0.2">
      <c r="A136" s="75">
        <v>136</v>
      </c>
      <c r="B136" s="116">
        <v>8711</v>
      </c>
      <c r="D136" s="87" t="s">
        <v>586</v>
      </c>
      <c r="I136" s="88" t="s">
        <v>587</v>
      </c>
      <c r="J136" s="88">
        <v>5</v>
      </c>
      <c r="K136" s="84" t="s">
        <v>241</v>
      </c>
      <c r="L136" s="83">
        <v>2</v>
      </c>
      <c r="M136" s="84" t="s">
        <v>241</v>
      </c>
      <c r="N136" s="90" t="s">
        <v>587</v>
      </c>
    </row>
    <row r="137" spans="1:14" ht="11.85" customHeight="1" x14ac:dyDescent="0.2">
      <c r="A137" s="75">
        <v>137</v>
      </c>
      <c r="B137" s="116">
        <v>9567</v>
      </c>
      <c r="D137" s="87" t="s">
        <v>588</v>
      </c>
      <c r="I137" s="88" t="s">
        <v>589</v>
      </c>
      <c r="J137" s="88">
        <v>5</v>
      </c>
      <c r="K137" s="84" t="s">
        <v>241</v>
      </c>
      <c r="L137" s="83">
        <v>2</v>
      </c>
      <c r="M137" s="84" t="s">
        <v>241</v>
      </c>
      <c r="N137" s="90" t="s">
        <v>589</v>
      </c>
    </row>
    <row r="138" spans="1:14" ht="11.85" customHeight="1" x14ac:dyDescent="0.2">
      <c r="A138" s="75">
        <v>138</v>
      </c>
      <c r="B138" s="116">
        <v>11759</v>
      </c>
      <c r="D138" s="87" t="s">
        <v>590</v>
      </c>
      <c r="I138" s="88" t="s">
        <v>591</v>
      </c>
      <c r="J138" s="88">
        <v>5</v>
      </c>
      <c r="K138" s="84" t="s">
        <v>241</v>
      </c>
      <c r="L138" s="83">
        <v>2</v>
      </c>
      <c r="M138" s="84" t="s">
        <v>905</v>
      </c>
      <c r="N138" s="90" t="s">
        <v>591</v>
      </c>
    </row>
    <row r="139" spans="1:14" ht="11.85" customHeight="1" x14ac:dyDescent="0.2">
      <c r="A139" s="75">
        <v>139</v>
      </c>
      <c r="B139" s="116">
        <v>11921</v>
      </c>
      <c r="D139" s="87" t="s">
        <v>592</v>
      </c>
      <c r="I139" s="88" t="s">
        <v>593</v>
      </c>
      <c r="J139" s="88">
        <v>5</v>
      </c>
      <c r="K139" s="84" t="s">
        <v>241</v>
      </c>
      <c r="L139" s="83">
        <v>2</v>
      </c>
      <c r="M139" s="84" t="s">
        <v>241</v>
      </c>
      <c r="N139" s="90" t="s">
        <v>593</v>
      </c>
    </row>
    <row r="140" spans="1:14" ht="11.85" customHeight="1" x14ac:dyDescent="0.2">
      <c r="A140" s="75">
        <v>140</v>
      </c>
      <c r="B140" s="116">
        <v>12612</v>
      </c>
      <c r="D140" s="87" t="s">
        <v>594</v>
      </c>
      <c r="I140" s="88" t="s">
        <v>595</v>
      </c>
      <c r="J140" s="88">
        <v>5</v>
      </c>
      <c r="K140" s="84" t="s">
        <v>241</v>
      </c>
      <c r="L140" s="83">
        <v>2</v>
      </c>
      <c r="M140" s="84" t="s">
        <v>241</v>
      </c>
      <c r="N140" s="90" t="s">
        <v>595</v>
      </c>
    </row>
    <row r="141" spans="1:14" ht="11.85" customHeight="1" x14ac:dyDescent="0.2">
      <c r="A141" s="75">
        <v>141</v>
      </c>
      <c r="B141" s="116">
        <v>12871</v>
      </c>
      <c r="D141" s="87" t="s">
        <v>596</v>
      </c>
      <c r="I141" s="88" t="s">
        <v>597</v>
      </c>
      <c r="J141" s="88">
        <v>5</v>
      </c>
      <c r="K141" s="84" t="s">
        <v>241</v>
      </c>
      <c r="L141" s="83">
        <v>2</v>
      </c>
      <c r="M141" s="84" t="s">
        <v>885</v>
      </c>
      <c r="N141" s="90" t="s">
        <v>597</v>
      </c>
    </row>
    <row r="142" spans="1:14" ht="11.85" customHeight="1" x14ac:dyDescent="0.2">
      <c r="A142" s="75">
        <v>142</v>
      </c>
      <c r="B142" s="116">
        <v>13853</v>
      </c>
      <c r="D142" s="87" t="s">
        <v>598</v>
      </c>
      <c r="I142" s="88" t="s">
        <v>599</v>
      </c>
      <c r="J142" s="88">
        <v>5</v>
      </c>
      <c r="K142" s="84" t="s">
        <v>241</v>
      </c>
      <c r="L142" s="83">
        <v>2</v>
      </c>
      <c r="M142" s="84" t="s">
        <v>924</v>
      </c>
      <c r="N142" s="90" t="s">
        <v>599</v>
      </c>
    </row>
    <row r="143" spans="1:14" ht="11.85" customHeight="1" x14ac:dyDescent="0.2">
      <c r="A143" s="75">
        <v>143</v>
      </c>
      <c r="B143" s="116">
        <v>9568</v>
      </c>
      <c r="D143" s="87" t="s">
        <v>600</v>
      </c>
      <c r="I143" s="88" t="s">
        <v>601</v>
      </c>
      <c r="J143" s="88">
        <v>5</v>
      </c>
      <c r="K143" s="84" t="s">
        <v>241</v>
      </c>
      <c r="L143" s="83">
        <v>2</v>
      </c>
      <c r="M143" s="84" t="s">
        <v>924</v>
      </c>
      <c r="N143" s="90" t="s">
        <v>601</v>
      </c>
    </row>
    <row r="144" spans="1:14" ht="11.85" customHeight="1" x14ac:dyDescent="0.2">
      <c r="A144" s="75">
        <v>144</v>
      </c>
      <c r="B144" s="116">
        <v>12872</v>
      </c>
      <c r="D144" s="87" t="s">
        <v>602</v>
      </c>
      <c r="I144" s="88" t="s">
        <v>603</v>
      </c>
      <c r="J144" s="88">
        <v>5</v>
      </c>
      <c r="K144" s="84" t="s">
        <v>241</v>
      </c>
      <c r="L144" s="83">
        <v>2</v>
      </c>
      <c r="M144" s="84" t="s">
        <v>241</v>
      </c>
      <c r="N144" s="90" t="s">
        <v>603</v>
      </c>
    </row>
    <row r="145" spans="1:14" ht="11.85" customHeight="1" x14ac:dyDescent="0.2">
      <c r="A145" s="75">
        <v>145</v>
      </c>
      <c r="B145" s="116">
        <v>12873</v>
      </c>
      <c r="D145" s="87" t="s">
        <v>604</v>
      </c>
      <c r="I145" s="88" t="s">
        <v>605</v>
      </c>
      <c r="J145" s="88">
        <v>5</v>
      </c>
      <c r="K145" s="84" t="s">
        <v>241</v>
      </c>
      <c r="L145" s="83">
        <v>2</v>
      </c>
      <c r="M145" s="84" t="s">
        <v>924</v>
      </c>
      <c r="N145" s="90" t="s">
        <v>605</v>
      </c>
    </row>
    <row r="146" spans="1:14" ht="11.85" customHeight="1" x14ac:dyDescent="0.2">
      <c r="A146" s="75">
        <v>146</v>
      </c>
      <c r="B146" s="116">
        <v>12874</v>
      </c>
      <c r="D146" s="87" t="s">
        <v>606</v>
      </c>
      <c r="I146" s="88" t="s">
        <v>607</v>
      </c>
      <c r="J146" s="88">
        <v>5</v>
      </c>
      <c r="K146" s="84" t="s">
        <v>241</v>
      </c>
      <c r="L146" s="83">
        <v>2</v>
      </c>
      <c r="M146" s="84" t="s">
        <v>708</v>
      </c>
      <c r="N146" s="90" t="s">
        <v>607</v>
      </c>
    </row>
    <row r="147" spans="1:14" ht="11.85" customHeight="1" x14ac:dyDescent="0.2">
      <c r="A147" s="75">
        <v>147</v>
      </c>
      <c r="B147" s="116">
        <v>12875</v>
      </c>
      <c r="D147" s="87" t="s">
        <v>608</v>
      </c>
      <c r="I147" s="88" t="s">
        <v>609</v>
      </c>
      <c r="J147" s="88">
        <v>5</v>
      </c>
      <c r="K147" s="84" t="s">
        <v>241</v>
      </c>
      <c r="L147" s="83">
        <v>2</v>
      </c>
      <c r="M147" s="84" t="s">
        <v>904</v>
      </c>
      <c r="N147" s="90" t="s">
        <v>609</v>
      </c>
    </row>
    <row r="148" spans="1:14" ht="11.85" customHeight="1" x14ac:dyDescent="0.2">
      <c r="A148" s="75">
        <v>148</v>
      </c>
      <c r="B148" s="116">
        <v>12876</v>
      </c>
      <c r="D148" s="87" t="s">
        <v>610</v>
      </c>
      <c r="I148" s="88" t="s">
        <v>611</v>
      </c>
      <c r="J148" s="88">
        <v>5</v>
      </c>
      <c r="K148" s="84" t="s">
        <v>241</v>
      </c>
      <c r="L148" s="83">
        <v>2</v>
      </c>
      <c r="M148" s="84" t="s">
        <v>924</v>
      </c>
      <c r="N148" s="90" t="s">
        <v>611</v>
      </c>
    </row>
    <row r="149" spans="1:14" ht="11.85" customHeight="1" x14ac:dyDescent="0.2">
      <c r="A149" s="75">
        <v>149</v>
      </c>
      <c r="B149" s="116">
        <v>12877</v>
      </c>
      <c r="D149" s="87" t="s">
        <v>612</v>
      </c>
      <c r="I149" s="88" t="s">
        <v>613</v>
      </c>
      <c r="J149" s="88">
        <v>5</v>
      </c>
      <c r="K149" s="84" t="s">
        <v>241</v>
      </c>
      <c r="L149" s="83">
        <v>2</v>
      </c>
      <c r="M149" s="84" t="s">
        <v>743</v>
      </c>
      <c r="N149" s="90" t="s">
        <v>613</v>
      </c>
    </row>
    <row r="150" spans="1:14" ht="11.85" customHeight="1" x14ac:dyDescent="0.2">
      <c r="A150" s="75">
        <v>150</v>
      </c>
      <c r="B150" s="116">
        <v>9656</v>
      </c>
      <c r="D150" s="87" t="s">
        <v>614</v>
      </c>
      <c r="I150" s="88" t="s">
        <v>615</v>
      </c>
      <c r="J150" s="88">
        <v>5</v>
      </c>
      <c r="K150" s="84" t="s">
        <v>241</v>
      </c>
      <c r="L150" s="83">
        <v>2</v>
      </c>
      <c r="M150" s="84" t="s">
        <v>241</v>
      </c>
      <c r="N150" s="90" t="s">
        <v>615</v>
      </c>
    </row>
    <row r="151" spans="1:14" ht="11.85" customHeight="1" x14ac:dyDescent="0.2">
      <c r="A151" s="75">
        <v>151</v>
      </c>
      <c r="B151" s="115">
        <v>8148</v>
      </c>
      <c r="C151" s="76" t="s">
        <v>390</v>
      </c>
      <c r="D151" s="87" t="s">
        <v>616</v>
      </c>
      <c r="H151" s="76" t="s">
        <v>617</v>
      </c>
      <c r="I151" s="76"/>
      <c r="J151" s="76">
        <v>4</v>
      </c>
      <c r="K151" s="76"/>
      <c r="L151" s="76"/>
      <c r="M151" s="76"/>
    </row>
    <row r="152" spans="1:14" ht="11.85" customHeight="1" x14ac:dyDescent="0.2">
      <c r="A152" s="75">
        <v>152</v>
      </c>
      <c r="B152" s="116">
        <v>8154</v>
      </c>
      <c r="D152" s="87" t="s">
        <v>618</v>
      </c>
      <c r="I152" s="88" t="s">
        <v>619</v>
      </c>
      <c r="J152" s="88">
        <v>5</v>
      </c>
      <c r="K152" s="84" t="s">
        <v>241</v>
      </c>
      <c r="L152" s="83">
        <v>2</v>
      </c>
      <c r="M152" s="84" t="s">
        <v>241</v>
      </c>
      <c r="N152" s="90" t="s">
        <v>568</v>
      </c>
    </row>
    <row r="153" spans="1:14" ht="11.85" customHeight="1" x14ac:dyDescent="0.2">
      <c r="A153" s="75">
        <v>153</v>
      </c>
      <c r="B153" s="115">
        <v>4682</v>
      </c>
      <c r="C153" s="76" t="s">
        <v>390</v>
      </c>
      <c r="D153" s="87" t="s">
        <v>97</v>
      </c>
      <c r="G153" s="76" t="s">
        <v>620</v>
      </c>
      <c r="H153" s="76"/>
      <c r="I153" s="76"/>
      <c r="J153" s="76">
        <v>3</v>
      </c>
      <c r="K153" s="76"/>
      <c r="L153" s="76"/>
      <c r="M153" s="76"/>
    </row>
    <row r="154" spans="1:14" ht="11.85" customHeight="1" x14ac:dyDescent="0.2">
      <c r="A154" s="75">
        <v>154</v>
      </c>
      <c r="B154" s="115">
        <v>4699</v>
      </c>
      <c r="C154" s="76" t="s">
        <v>390</v>
      </c>
      <c r="D154" s="87" t="s">
        <v>621</v>
      </c>
      <c r="H154" s="76" t="s">
        <v>30</v>
      </c>
      <c r="I154" s="76"/>
      <c r="J154" s="76">
        <v>4</v>
      </c>
      <c r="K154" s="76"/>
      <c r="L154" s="76"/>
      <c r="M154" s="76"/>
    </row>
    <row r="155" spans="1:14" ht="11.85" customHeight="1" x14ac:dyDescent="0.2">
      <c r="A155" s="75">
        <v>155</v>
      </c>
      <c r="B155" s="116">
        <v>4707</v>
      </c>
      <c r="D155" s="87" t="s">
        <v>31</v>
      </c>
      <c r="I155" s="88" t="s">
        <v>102</v>
      </c>
      <c r="J155" s="88">
        <v>5</v>
      </c>
      <c r="K155" s="84" t="s">
        <v>233</v>
      </c>
      <c r="L155" s="83">
        <v>3</v>
      </c>
      <c r="M155" s="84" t="s">
        <v>365</v>
      </c>
      <c r="N155" s="90" t="s">
        <v>102</v>
      </c>
    </row>
    <row r="156" spans="1:14" ht="11.85" customHeight="1" x14ac:dyDescent="0.2">
      <c r="A156" s="75">
        <v>156</v>
      </c>
      <c r="B156" s="116">
        <v>4713</v>
      </c>
      <c r="D156" s="87" t="s">
        <v>32</v>
      </c>
      <c r="I156" s="88" t="s">
        <v>103</v>
      </c>
      <c r="J156" s="88">
        <v>5</v>
      </c>
      <c r="K156" s="84" t="s">
        <v>233</v>
      </c>
      <c r="L156" s="83">
        <v>3</v>
      </c>
      <c r="M156" s="84" t="s">
        <v>365</v>
      </c>
      <c r="N156" s="90" t="s">
        <v>103</v>
      </c>
    </row>
    <row r="157" spans="1:14" ht="11.85" customHeight="1" x14ac:dyDescent="0.2">
      <c r="A157" s="75">
        <v>157</v>
      </c>
      <c r="B157" s="116">
        <v>4771</v>
      </c>
      <c r="D157" s="87" t="s">
        <v>33</v>
      </c>
      <c r="I157" s="88" t="s">
        <v>104</v>
      </c>
      <c r="J157" s="88">
        <v>5</v>
      </c>
      <c r="K157" s="84" t="s">
        <v>233</v>
      </c>
      <c r="L157" s="83">
        <v>3</v>
      </c>
      <c r="M157" s="84" t="s">
        <v>365</v>
      </c>
      <c r="N157" s="90" t="s">
        <v>104</v>
      </c>
    </row>
    <row r="158" spans="1:14" ht="11.85" customHeight="1" x14ac:dyDescent="0.2">
      <c r="A158" s="75">
        <v>158</v>
      </c>
      <c r="B158" s="116">
        <v>8770</v>
      </c>
      <c r="D158" s="87" t="s">
        <v>100</v>
      </c>
      <c r="I158" s="88" t="s">
        <v>622</v>
      </c>
      <c r="J158" s="88">
        <v>5</v>
      </c>
      <c r="K158" s="84" t="s">
        <v>233</v>
      </c>
      <c r="L158" s="83">
        <v>3</v>
      </c>
      <c r="M158" s="84" t="s">
        <v>365</v>
      </c>
      <c r="N158" s="90" t="s">
        <v>622</v>
      </c>
    </row>
    <row r="159" spans="1:14" ht="11.85" customHeight="1" x14ac:dyDescent="0.2">
      <c r="A159" s="75">
        <v>159</v>
      </c>
      <c r="B159" s="115">
        <v>4720</v>
      </c>
      <c r="C159" s="76" t="s">
        <v>390</v>
      </c>
      <c r="D159" s="87" t="s">
        <v>623</v>
      </c>
      <c r="H159" s="76" t="s">
        <v>262</v>
      </c>
      <c r="I159" s="76"/>
      <c r="J159" s="76">
        <v>4</v>
      </c>
      <c r="K159" s="76"/>
      <c r="L159" s="76"/>
      <c r="M159" s="76"/>
    </row>
    <row r="160" spans="1:14" ht="11.85" customHeight="1" x14ac:dyDescent="0.2">
      <c r="A160" s="75">
        <v>160</v>
      </c>
      <c r="B160" s="116">
        <v>4736</v>
      </c>
      <c r="D160" s="87" t="s">
        <v>624</v>
      </c>
      <c r="I160" s="88" t="s">
        <v>625</v>
      </c>
      <c r="J160" s="88">
        <v>5</v>
      </c>
      <c r="K160" s="84" t="s">
        <v>233</v>
      </c>
      <c r="L160" s="83">
        <v>3</v>
      </c>
      <c r="M160" s="84" t="s">
        <v>903</v>
      </c>
      <c r="N160" s="90" t="s">
        <v>625</v>
      </c>
    </row>
    <row r="161" spans="1:14" ht="11.85" customHeight="1" x14ac:dyDescent="0.2">
      <c r="A161" s="75">
        <v>161</v>
      </c>
      <c r="B161" s="116">
        <v>8243</v>
      </c>
      <c r="D161" s="87" t="s">
        <v>626</v>
      </c>
      <c r="I161" s="88" t="s">
        <v>627</v>
      </c>
      <c r="J161" s="88">
        <v>5</v>
      </c>
      <c r="K161" s="84" t="s">
        <v>233</v>
      </c>
      <c r="L161" s="83">
        <v>3</v>
      </c>
      <c r="M161" s="84" t="s">
        <v>233</v>
      </c>
      <c r="N161" s="90" t="s">
        <v>627</v>
      </c>
    </row>
    <row r="162" spans="1:14" ht="11.85" customHeight="1" x14ac:dyDescent="0.2">
      <c r="A162" s="75">
        <v>162</v>
      </c>
      <c r="B162" s="116">
        <v>4742</v>
      </c>
      <c r="D162" s="87" t="s">
        <v>628</v>
      </c>
      <c r="I162" s="88" t="s">
        <v>629</v>
      </c>
      <c r="J162" s="88">
        <v>5</v>
      </c>
      <c r="K162" s="84" t="s">
        <v>233</v>
      </c>
      <c r="L162" s="83">
        <v>3</v>
      </c>
      <c r="M162" s="84" t="s">
        <v>708</v>
      </c>
      <c r="N162" s="90" t="s">
        <v>629</v>
      </c>
    </row>
    <row r="163" spans="1:14" ht="11.85" customHeight="1" x14ac:dyDescent="0.2">
      <c r="A163" s="75">
        <v>163</v>
      </c>
      <c r="B163" s="116">
        <v>7781</v>
      </c>
      <c r="D163" s="87" t="s">
        <v>630</v>
      </c>
      <c r="I163" s="88" t="s">
        <v>631</v>
      </c>
      <c r="J163" s="88">
        <v>5</v>
      </c>
      <c r="K163" s="84" t="s">
        <v>233</v>
      </c>
      <c r="L163" s="83">
        <v>3</v>
      </c>
      <c r="M163" s="84" t="s">
        <v>902</v>
      </c>
      <c r="N163" s="90" t="s">
        <v>631</v>
      </c>
    </row>
    <row r="164" spans="1:14" ht="11.85" customHeight="1" x14ac:dyDescent="0.2">
      <c r="A164" s="75">
        <v>164</v>
      </c>
      <c r="B164" s="116">
        <v>11535</v>
      </c>
      <c r="D164" s="87" t="s">
        <v>632</v>
      </c>
      <c r="I164" s="88" t="s">
        <v>633</v>
      </c>
      <c r="J164" s="88">
        <v>5</v>
      </c>
      <c r="K164" s="84" t="s">
        <v>233</v>
      </c>
      <c r="L164" s="83">
        <v>3</v>
      </c>
      <c r="M164" s="84" t="s">
        <v>233</v>
      </c>
      <c r="N164" s="90" t="s">
        <v>633</v>
      </c>
    </row>
    <row r="165" spans="1:14" ht="11.85" customHeight="1" x14ac:dyDescent="0.2">
      <c r="A165" s="75">
        <v>165</v>
      </c>
      <c r="B165" s="116">
        <v>12598</v>
      </c>
      <c r="D165" s="87" t="s">
        <v>634</v>
      </c>
      <c r="I165" s="88" t="s">
        <v>635</v>
      </c>
      <c r="J165" s="88">
        <v>5</v>
      </c>
      <c r="K165" s="84" t="s">
        <v>233</v>
      </c>
      <c r="L165" s="83">
        <v>3</v>
      </c>
      <c r="M165" s="84" t="s">
        <v>233</v>
      </c>
      <c r="N165" s="90" t="s">
        <v>635</v>
      </c>
    </row>
    <row r="166" spans="1:14" ht="11.85" customHeight="1" x14ac:dyDescent="0.2">
      <c r="A166" s="75">
        <v>166</v>
      </c>
      <c r="B166" s="116">
        <v>12731</v>
      </c>
      <c r="D166" s="87" t="s">
        <v>636</v>
      </c>
      <c r="I166" s="88" t="s">
        <v>637</v>
      </c>
      <c r="J166" s="88">
        <v>5</v>
      </c>
      <c r="K166" s="84" t="s">
        <v>233</v>
      </c>
      <c r="L166" s="83">
        <v>3</v>
      </c>
      <c r="M166" s="84" t="s">
        <v>885</v>
      </c>
      <c r="N166" s="90" t="s">
        <v>637</v>
      </c>
    </row>
    <row r="167" spans="1:14" ht="11.85" customHeight="1" x14ac:dyDescent="0.2">
      <c r="A167" s="75">
        <v>167</v>
      </c>
      <c r="B167" s="116">
        <v>13847</v>
      </c>
      <c r="D167" s="87" t="s">
        <v>638</v>
      </c>
      <c r="I167" s="88" t="s">
        <v>639</v>
      </c>
      <c r="J167" s="88">
        <v>5</v>
      </c>
      <c r="K167" s="84" t="s">
        <v>233</v>
      </c>
      <c r="L167" s="83">
        <v>3</v>
      </c>
      <c r="M167" s="84" t="s">
        <v>885</v>
      </c>
      <c r="N167" s="90" t="s">
        <v>639</v>
      </c>
    </row>
    <row r="168" spans="1:14" ht="11.85" customHeight="1" x14ac:dyDescent="0.2">
      <c r="A168" s="75">
        <v>168</v>
      </c>
      <c r="B168" s="116">
        <v>12599</v>
      </c>
      <c r="D168" s="87" t="s">
        <v>640</v>
      </c>
      <c r="I168" s="88" t="s">
        <v>641</v>
      </c>
      <c r="J168" s="88">
        <v>5</v>
      </c>
      <c r="K168" s="84" t="s">
        <v>233</v>
      </c>
      <c r="L168" s="83">
        <v>3</v>
      </c>
      <c r="M168" s="84" t="s">
        <v>233</v>
      </c>
      <c r="N168" s="90" t="s">
        <v>641</v>
      </c>
    </row>
    <row r="169" spans="1:14" ht="11.85" customHeight="1" x14ac:dyDescent="0.2">
      <c r="A169" s="75">
        <v>169</v>
      </c>
      <c r="B169" s="116">
        <v>12602</v>
      </c>
      <c r="D169" s="87" t="s">
        <v>642</v>
      </c>
      <c r="I169" s="88" t="s">
        <v>643</v>
      </c>
      <c r="J169" s="88">
        <v>5</v>
      </c>
      <c r="K169" s="84" t="s">
        <v>233</v>
      </c>
      <c r="L169" s="83">
        <v>3</v>
      </c>
      <c r="M169" s="84" t="s">
        <v>902</v>
      </c>
      <c r="N169" s="90" t="s">
        <v>643</v>
      </c>
    </row>
    <row r="170" spans="1:14" ht="11.85" customHeight="1" x14ac:dyDescent="0.2">
      <c r="A170" s="75">
        <v>170</v>
      </c>
      <c r="B170" s="116">
        <v>12600</v>
      </c>
      <c r="D170" s="87" t="s">
        <v>644</v>
      </c>
      <c r="I170" s="88" t="s">
        <v>645</v>
      </c>
      <c r="J170" s="88">
        <v>5</v>
      </c>
      <c r="K170" s="84" t="s">
        <v>233</v>
      </c>
      <c r="L170" s="83">
        <v>3</v>
      </c>
      <c r="M170" s="84" t="s">
        <v>233</v>
      </c>
      <c r="N170" s="90" t="s">
        <v>645</v>
      </c>
    </row>
    <row r="171" spans="1:14" ht="11.85" customHeight="1" x14ac:dyDescent="0.2">
      <c r="A171" s="75">
        <v>171</v>
      </c>
      <c r="B171" s="116">
        <v>12601</v>
      </c>
      <c r="D171" s="87" t="s">
        <v>646</v>
      </c>
      <c r="I171" s="88" t="s">
        <v>647</v>
      </c>
      <c r="J171" s="88">
        <v>5</v>
      </c>
      <c r="K171" s="84" t="s">
        <v>233</v>
      </c>
      <c r="L171" s="83">
        <v>3</v>
      </c>
      <c r="M171" s="84" t="s">
        <v>903</v>
      </c>
      <c r="N171" s="90" t="s">
        <v>647</v>
      </c>
    </row>
    <row r="172" spans="1:14" ht="11.85" customHeight="1" x14ac:dyDescent="0.2">
      <c r="A172" s="75">
        <v>172</v>
      </c>
      <c r="B172" s="116">
        <v>12603</v>
      </c>
      <c r="D172" s="87" t="s">
        <v>648</v>
      </c>
      <c r="I172" s="88" t="s">
        <v>649</v>
      </c>
      <c r="J172" s="88">
        <v>5</v>
      </c>
      <c r="K172" s="84" t="s">
        <v>233</v>
      </c>
      <c r="L172" s="83">
        <v>3</v>
      </c>
      <c r="M172" s="84" t="s">
        <v>233</v>
      </c>
      <c r="N172" s="90" t="s">
        <v>649</v>
      </c>
    </row>
    <row r="173" spans="1:14" ht="11.85" customHeight="1" x14ac:dyDescent="0.2">
      <c r="A173" s="75">
        <v>173</v>
      </c>
      <c r="B173" s="116">
        <v>12604</v>
      </c>
      <c r="D173" s="87" t="s">
        <v>650</v>
      </c>
      <c r="I173" s="88" t="s">
        <v>651</v>
      </c>
      <c r="J173" s="88">
        <v>5</v>
      </c>
      <c r="K173" s="84" t="s">
        <v>233</v>
      </c>
      <c r="L173" s="83">
        <v>3</v>
      </c>
      <c r="M173" s="84" t="s">
        <v>233</v>
      </c>
      <c r="N173" s="90" t="s">
        <v>651</v>
      </c>
    </row>
    <row r="174" spans="1:14" ht="11.85" customHeight="1" x14ac:dyDescent="0.2">
      <c r="A174" s="75">
        <v>174</v>
      </c>
      <c r="B174" s="116">
        <v>6617</v>
      </c>
      <c r="D174" s="87" t="s">
        <v>652</v>
      </c>
      <c r="I174" s="88" t="s">
        <v>308</v>
      </c>
      <c r="J174" s="88">
        <v>5</v>
      </c>
      <c r="K174" s="84" t="s">
        <v>233</v>
      </c>
      <c r="L174" s="83">
        <v>3</v>
      </c>
      <c r="M174" s="84" t="s">
        <v>233</v>
      </c>
      <c r="N174" s="90" t="s">
        <v>308</v>
      </c>
    </row>
    <row r="175" spans="1:14" ht="11.85" customHeight="1" x14ac:dyDescent="0.2">
      <c r="A175" s="75">
        <v>175</v>
      </c>
      <c r="B175" s="116">
        <v>12990</v>
      </c>
      <c r="D175" s="87" t="s">
        <v>653</v>
      </c>
      <c r="I175" s="88" t="s">
        <v>233</v>
      </c>
      <c r="J175" s="88">
        <v>5</v>
      </c>
      <c r="K175" s="84" t="s">
        <v>233</v>
      </c>
      <c r="L175" s="83">
        <v>3</v>
      </c>
      <c r="M175" s="84" t="s">
        <v>233</v>
      </c>
      <c r="N175" s="90" t="s">
        <v>233</v>
      </c>
    </row>
    <row r="176" spans="1:14" ht="11.85" customHeight="1" x14ac:dyDescent="0.2">
      <c r="A176" s="75">
        <v>176</v>
      </c>
      <c r="B176" s="115">
        <v>8310</v>
      </c>
      <c r="C176" s="76" t="s">
        <v>390</v>
      </c>
      <c r="D176" s="87" t="s">
        <v>654</v>
      </c>
      <c r="G176" s="76" t="s">
        <v>314</v>
      </c>
      <c r="H176" s="76"/>
      <c r="I176" s="76"/>
      <c r="J176" s="76">
        <v>3</v>
      </c>
      <c r="K176" s="76"/>
      <c r="L176" s="76"/>
      <c r="M176" s="76"/>
    </row>
    <row r="177" spans="1:14" ht="11.85" customHeight="1" x14ac:dyDescent="0.2">
      <c r="A177" s="75">
        <v>177</v>
      </c>
      <c r="B177" s="115">
        <v>8326</v>
      </c>
      <c r="C177" s="76" t="s">
        <v>390</v>
      </c>
      <c r="D177" s="87" t="s">
        <v>655</v>
      </c>
      <c r="H177" s="76" t="s">
        <v>656</v>
      </c>
      <c r="I177" s="76"/>
      <c r="J177" s="76">
        <v>4</v>
      </c>
      <c r="K177" s="76"/>
      <c r="L177" s="76"/>
      <c r="M177" s="76"/>
    </row>
    <row r="178" spans="1:14" ht="11.85" customHeight="1" x14ac:dyDescent="0.2">
      <c r="A178" s="75">
        <v>178</v>
      </c>
      <c r="B178" s="116">
        <v>8349</v>
      </c>
      <c r="D178" s="87" t="s">
        <v>657</v>
      </c>
      <c r="I178" s="88" t="s">
        <v>658</v>
      </c>
      <c r="J178" s="88">
        <v>5</v>
      </c>
      <c r="K178" s="84" t="s">
        <v>313</v>
      </c>
      <c r="L178" s="83">
        <v>4</v>
      </c>
      <c r="M178" s="84" t="s">
        <v>886</v>
      </c>
      <c r="N178" s="90" t="s">
        <v>658</v>
      </c>
    </row>
    <row r="179" spans="1:14" ht="11.85" customHeight="1" x14ac:dyDescent="0.2">
      <c r="A179" s="75">
        <v>179</v>
      </c>
      <c r="B179" s="116">
        <v>8355</v>
      </c>
      <c r="D179" s="87" t="s">
        <v>659</v>
      </c>
      <c r="I179" s="88" t="s">
        <v>660</v>
      </c>
      <c r="J179" s="88">
        <v>5</v>
      </c>
      <c r="K179" s="84" t="s">
        <v>313</v>
      </c>
      <c r="L179" s="83">
        <v>4</v>
      </c>
      <c r="M179" s="84" t="s">
        <v>886</v>
      </c>
      <c r="N179" s="90" t="s">
        <v>660</v>
      </c>
    </row>
    <row r="180" spans="1:14" ht="11.85" customHeight="1" x14ac:dyDescent="0.2">
      <c r="A180" s="75">
        <v>180</v>
      </c>
      <c r="B180" s="116">
        <v>8361</v>
      </c>
      <c r="D180" s="87" t="s">
        <v>661</v>
      </c>
      <c r="I180" s="88" t="s">
        <v>662</v>
      </c>
      <c r="J180" s="88">
        <v>5</v>
      </c>
      <c r="K180" s="84" t="s">
        <v>313</v>
      </c>
      <c r="L180" s="83">
        <v>4</v>
      </c>
      <c r="M180" s="84" t="s">
        <v>886</v>
      </c>
      <c r="N180" s="90" t="s">
        <v>918</v>
      </c>
    </row>
    <row r="181" spans="1:14" ht="11.85" customHeight="1" x14ac:dyDescent="0.2">
      <c r="A181" s="75">
        <v>181</v>
      </c>
      <c r="B181" s="116">
        <v>12760</v>
      </c>
      <c r="D181" s="87" t="s">
        <v>663</v>
      </c>
      <c r="I181" s="88" t="s">
        <v>664</v>
      </c>
      <c r="J181" s="88">
        <v>5</v>
      </c>
      <c r="K181" s="84" t="s">
        <v>313</v>
      </c>
      <c r="L181" s="83">
        <v>4</v>
      </c>
      <c r="M181" s="84" t="s">
        <v>886</v>
      </c>
      <c r="N181" s="90" t="s">
        <v>664</v>
      </c>
    </row>
    <row r="182" spans="1:14" ht="11.85" customHeight="1" x14ac:dyDescent="0.2">
      <c r="A182" s="75">
        <v>182</v>
      </c>
      <c r="B182" s="116">
        <v>8362</v>
      </c>
      <c r="D182" s="87" t="s">
        <v>665</v>
      </c>
      <c r="I182" s="88" t="s">
        <v>625</v>
      </c>
      <c r="J182" s="88">
        <v>5</v>
      </c>
      <c r="K182" s="84" t="s">
        <v>313</v>
      </c>
      <c r="L182" s="83">
        <v>4</v>
      </c>
      <c r="M182" s="84" t="s">
        <v>886</v>
      </c>
      <c r="N182" s="90" t="s">
        <v>625</v>
      </c>
    </row>
    <row r="183" spans="1:14" ht="11.85" customHeight="1" x14ac:dyDescent="0.2">
      <c r="A183" s="75">
        <v>183</v>
      </c>
      <c r="B183" s="116">
        <v>8823</v>
      </c>
      <c r="D183" s="87" t="s">
        <v>666</v>
      </c>
      <c r="I183" s="88" t="s">
        <v>667</v>
      </c>
      <c r="J183" s="88">
        <v>5</v>
      </c>
      <c r="K183" s="84" t="s">
        <v>313</v>
      </c>
      <c r="L183" s="83">
        <v>4</v>
      </c>
      <c r="M183" s="84" t="s">
        <v>886</v>
      </c>
      <c r="N183" s="90" t="s">
        <v>667</v>
      </c>
    </row>
    <row r="184" spans="1:14" ht="11.85" customHeight="1" x14ac:dyDescent="0.2">
      <c r="A184" s="75">
        <v>184</v>
      </c>
      <c r="B184" s="115">
        <v>8332</v>
      </c>
      <c r="C184" s="76" t="s">
        <v>390</v>
      </c>
      <c r="D184" s="87" t="s">
        <v>668</v>
      </c>
      <c r="H184" s="76" t="s">
        <v>669</v>
      </c>
      <c r="I184" s="76"/>
      <c r="J184" s="76">
        <v>4</v>
      </c>
      <c r="K184" s="76"/>
      <c r="L184" s="76"/>
      <c r="M184" s="76"/>
    </row>
    <row r="185" spans="1:14" ht="11.85" customHeight="1" x14ac:dyDescent="0.2">
      <c r="A185" s="75">
        <v>185</v>
      </c>
      <c r="B185" s="116">
        <v>8378</v>
      </c>
      <c r="D185" s="87" t="s">
        <v>670</v>
      </c>
      <c r="I185" s="88" t="s">
        <v>671</v>
      </c>
      <c r="J185" s="88">
        <v>5</v>
      </c>
      <c r="K185" s="84" t="s">
        <v>313</v>
      </c>
      <c r="L185" s="83">
        <v>4</v>
      </c>
      <c r="M185" s="84" t="s">
        <v>887</v>
      </c>
      <c r="N185" s="90" t="s">
        <v>671</v>
      </c>
    </row>
    <row r="186" spans="1:14" ht="11.85" customHeight="1" x14ac:dyDescent="0.2">
      <c r="A186" s="75">
        <v>186</v>
      </c>
      <c r="B186" s="116">
        <v>8384</v>
      </c>
      <c r="D186" s="87" t="s">
        <v>672</v>
      </c>
      <c r="I186" s="88" t="s">
        <v>673</v>
      </c>
      <c r="J186" s="88">
        <v>5</v>
      </c>
      <c r="K186" s="84" t="s">
        <v>313</v>
      </c>
      <c r="L186" s="83">
        <v>4</v>
      </c>
      <c r="M186" s="84" t="s">
        <v>887</v>
      </c>
      <c r="N186" s="90" t="s">
        <v>673</v>
      </c>
    </row>
    <row r="187" spans="1:14" ht="11.85" customHeight="1" x14ac:dyDescent="0.2">
      <c r="A187" s="75">
        <v>187</v>
      </c>
      <c r="B187" s="116">
        <v>8391</v>
      </c>
      <c r="D187" s="87" t="s">
        <v>674</v>
      </c>
      <c r="I187" s="88" t="s">
        <v>675</v>
      </c>
      <c r="J187" s="88">
        <v>5</v>
      </c>
      <c r="K187" s="84" t="s">
        <v>313</v>
      </c>
      <c r="L187" s="83">
        <v>4</v>
      </c>
      <c r="M187" s="84" t="s">
        <v>887</v>
      </c>
      <c r="N187" s="90" t="s">
        <v>675</v>
      </c>
    </row>
    <row r="188" spans="1:14" ht="11.85" customHeight="1" x14ac:dyDescent="0.2">
      <c r="A188" s="75">
        <v>188</v>
      </c>
      <c r="B188" s="116">
        <v>8409</v>
      </c>
      <c r="D188" s="87" t="s">
        <v>676</v>
      </c>
      <c r="I188" s="88" t="s">
        <v>677</v>
      </c>
      <c r="J188" s="88">
        <v>5</v>
      </c>
      <c r="K188" s="84" t="s">
        <v>313</v>
      </c>
      <c r="L188" s="83">
        <v>4</v>
      </c>
      <c r="M188" s="84" t="s">
        <v>887</v>
      </c>
      <c r="N188" s="90" t="s">
        <v>677</v>
      </c>
    </row>
    <row r="189" spans="1:14" ht="11.85" customHeight="1" x14ac:dyDescent="0.2">
      <c r="A189" s="75">
        <v>189</v>
      </c>
      <c r="B189" s="116">
        <v>8415</v>
      </c>
      <c r="D189" s="87" t="s">
        <v>678</v>
      </c>
      <c r="I189" s="88" t="s">
        <v>679</v>
      </c>
      <c r="J189" s="88">
        <v>5</v>
      </c>
      <c r="K189" s="84" t="s">
        <v>313</v>
      </c>
      <c r="L189" s="83">
        <v>4</v>
      </c>
      <c r="M189" s="84" t="s">
        <v>887</v>
      </c>
      <c r="N189" s="90" t="s">
        <v>679</v>
      </c>
    </row>
    <row r="190" spans="1:14" ht="11.85" customHeight="1" x14ac:dyDescent="0.2">
      <c r="A190" s="75">
        <v>190</v>
      </c>
      <c r="B190" s="116">
        <v>8421</v>
      </c>
      <c r="D190" s="87" t="s">
        <v>680</v>
      </c>
      <c r="I190" s="88" t="s">
        <v>681</v>
      </c>
      <c r="J190" s="88">
        <v>5</v>
      </c>
      <c r="K190" s="84" t="s">
        <v>313</v>
      </c>
      <c r="L190" s="83">
        <v>4</v>
      </c>
      <c r="M190" s="84" t="s">
        <v>887</v>
      </c>
      <c r="N190" s="90" t="s">
        <v>681</v>
      </c>
    </row>
    <row r="191" spans="1:14" ht="11.85" customHeight="1" x14ac:dyDescent="0.2">
      <c r="A191" s="75">
        <v>191</v>
      </c>
      <c r="B191" s="116">
        <v>8438</v>
      </c>
      <c r="D191" s="87" t="s">
        <v>682</v>
      </c>
      <c r="I191" s="88" t="s">
        <v>683</v>
      </c>
      <c r="J191" s="88">
        <v>5</v>
      </c>
      <c r="K191" s="84" t="s">
        <v>313</v>
      </c>
      <c r="L191" s="83">
        <v>4</v>
      </c>
      <c r="M191" s="84" t="s">
        <v>887</v>
      </c>
      <c r="N191" s="90" t="s">
        <v>683</v>
      </c>
    </row>
    <row r="192" spans="1:14" ht="11.85" customHeight="1" x14ac:dyDescent="0.2">
      <c r="A192" s="75">
        <v>192</v>
      </c>
      <c r="B192" s="116">
        <v>8451</v>
      </c>
      <c r="D192" s="87" t="s">
        <v>684</v>
      </c>
      <c r="I192" s="88" t="s">
        <v>685</v>
      </c>
      <c r="J192" s="88">
        <v>5</v>
      </c>
      <c r="K192" s="84" t="s">
        <v>313</v>
      </c>
      <c r="L192" s="83">
        <v>4</v>
      </c>
      <c r="M192" s="84" t="s">
        <v>887</v>
      </c>
      <c r="N192" s="90" t="s">
        <v>685</v>
      </c>
    </row>
    <row r="193" spans="1:14" ht="11.85" customHeight="1" x14ac:dyDescent="0.2">
      <c r="A193" s="75">
        <v>193</v>
      </c>
      <c r="B193" s="116">
        <v>8444</v>
      </c>
      <c r="D193" s="87" t="s">
        <v>686</v>
      </c>
      <c r="I193" s="88" t="s">
        <v>687</v>
      </c>
      <c r="J193" s="88">
        <v>5</v>
      </c>
      <c r="K193" s="84" t="s">
        <v>313</v>
      </c>
      <c r="L193" s="83">
        <v>4</v>
      </c>
      <c r="M193" s="84" t="s">
        <v>887</v>
      </c>
      <c r="N193" s="90" t="s">
        <v>687</v>
      </c>
    </row>
    <row r="194" spans="1:14" ht="11.85" customHeight="1" x14ac:dyDescent="0.2">
      <c r="A194" s="75">
        <v>194</v>
      </c>
      <c r="B194" s="116">
        <v>8467</v>
      </c>
      <c r="D194" s="87" t="s">
        <v>688</v>
      </c>
      <c r="I194" s="88" t="s">
        <v>689</v>
      </c>
      <c r="J194" s="88">
        <v>5</v>
      </c>
      <c r="K194" s="84" t="s">
        <v>313</v>
      </c>
      <c r="L194" s="83">
        <v>4</v>
      </c>
      <c r="M194" s="84" t="s">
        <v>887</v>
      </c>
      <c r="N194" s="90" t="s">
        <v>689</v>
      </c>
    </row>
    <row r="195" spans="1:14" ht="11.85" customHeight="1" x14ac:dyDescent="0.2">
      <c r="A195" s="75">
        <v>195</v>
      </c>
      <c r="B195" s="116">
        <v>8651</v>
      </c>
      <c r="D195" s="87" t="s">
        <v>690</v>
      </c>
      <c r="I195" s="88" t="s">
        <v>691</v>
      </c>
      <c r="J195" s="88">
        <v>5</v>
      </c>
      <c r="K195" s="84" t="s">
        <v>313</v>
      </c>
      <c r="L195" s="83">
        <v>4</v>
      </c>
      <c r="M195" s="84" t="s">
        <v>887</v>
      </c>
      <c r="N195" s="90" t="s">
        <v>691</v>
      </c>
    </row>
    <row r="196" spans="1:14" ht="11.85" customHeight="1" x14ac:dyDescent="0.2">
      <c r="A196" s="75">
        <v>196</v>
      </c>
      <c r="B196" s="116">
        <v>8697</v>
      </c>
      <c r="D196" s="87" t="s">
        <v>692</v>
      </c>
      <c r="I196" s="88" t="s">
        <v>693</v>
      </c>
      <c r="J196" s="88">
        <v>5</v>
      </c>
      <c r="K196" s="84" t="s">
        <v>313</v>
      </c>
      <c r="L196" s="83">
        <v>4</v>
      </c>
      <c r="M196" s="84" t="s">
        <v>887</v>
      </c>
      <c r="N196" s="90" t="s">
        <v>693</v>
      </c>
    </row>
    <row r="197" spans="1:14" ht="11.85" customHeight="1" x14ac:dyDescent="0.2">
      <c r="A197" s="75">
        <v>197</v>
      </c>
      <c r="B197" s="116">
        <v>8705</v>
      </c>
      <c r="D197" s="87" t="s">
        <v>694</v>
      </c>
      <c r="I197" s="88" t="s">
        <v>695</v>
      </c>
      <c r="J197" s="88">
        <v>5</v>
      </c>
      <c r="K197" s="84" t="s">
        <v>313</v>
      </c>
      <c r="L197" s="83">
        <v>4</v>
      </c>
      <c r="M197" s="84" t="s">
        <v>887</v>
      </c>
      <c r="N197" s="90" t="s">
        <v>695</v>
      </c>
    </row>
    <row r="198" spans="1:14" ht="11.85" customHeight="1" x14ac:dyDescent="0.2">
      <c r="A198" s="75">
        <v>198</v>
      </c>
      <c r="B198" s="116">
        <v>8830</v>
      </c>
      <c r="D198" s="87" t="s">
        <v>696</v>
      </c>
      <c r="I198" s="88" t="s">
        <v>660</v>
      </c>
      <c r="J198" s="88">
        <v>5</v>
      </c>
      <c r="K198" s="84" t="s">
        <v>313</v>
      </c>
      <c r="L198" s="83">
        <v>4</v>
      </c>
      <c r="M198" s="84" t="s">
        <v>887</v>
      </c>
      <c r="N198" s="90" t="s">
        <v>660</v>
      </c>
    </row>
    <row r="199" spans="1:14" ht="11.85" customHeight="1" x14ac:dyDescent="0.2">
      <c r="A199" s="75">
        <v>199</v>
      </c>
      <c r="B199" s="116">
        <v>8881</v>
      </c>
      <c r="D199" s="87" t="s">
        <v>697</v>
      </c>
      <c r="I199" s="88" t="s">
        <v>698</v>
      </c>
      <c r="J199" s="88">
        <v>5</v>
      </c>
      <c r="K199" s="84" t="s">
        <v>313</v>
      </c>
      <c r="L199" s="83">
        <v>4</v>
      </c>
      <c r="M199" s="84" t="s">
        <v>887</v>
      </c>
      <c r="N199" s="90" t="s">
        <v>920</v>
      </c>
    </row>
    <row r="200" spans="1:14" ht="11.85" customHeight="1" x14ac:dyDescent="0.2">
      <c r="A200" s="75">
        <v>200</v>
      </c>
      <c r="B200" s="116">
        <v>9596</v>
      </c>
      <c r="D200" s="87" t="s">
        <v>699</v>
      </c>
      <c r="I200" s="88" t="s">
        <v>700</v>
      </c>
      <c r="J200" s="88">
        <v>5</v>
      </c>
      <c r="K200" s="84" t="s">
        <v>313</v>
      </c>
      <c r="L200" s="83">
        <v>4</v>
      </c>
      <c r="M200" s="84" t="s">
        <v>887</v>
      </c>
      <c r="N200" s="90" t="s">
        <v>700</v>
      </c>
    </row>
    <row r="201" spans="1:14" ht="11.85" customHeight="1" x14ac:dyDescent="0.2">
      <c r="A201" s="75">
        <v>201</v>
      </c>
      <c r="B201" s="116">
        <v>8473</v>
      </c>
      <c r="D201" s="87" t="s">
        <v>701</v>
      </c>
      <c r="I201" s="88" t="s">
        <v>702</v>
      </c>
      <c r="J201" s="88">
        <v>5</v>
      </c>
      <c r="K201" s="84" t="s">
        <v>313</v>
      </c>
      <c r="L201" s="83">
        <v>4</v>
      </c>
      <c r="M201" s="84" t="s">
        <v>887</v>
      </c>
      <c r="N201" s="90" t="s">
        <v>702</v>
      </c>
    </row>
    <row r="202" spans="1:14" ht="11.85" customHeight="1" x14ac:dyDescent="0.2">
      <c r="A202" s="75">
        <v>202</v>
      </c>
      <c r="B202" s="115">
        <v>4676</v>
      </c>
      <c r="C202" s="76" t="s">
        <v>390</v>
      </c>
      <c r="D202" s="87" t="s">
        <v>375</v>
      </c>
      <c r="F202" s="76" t="s">
        <v>703</v>
      </c>
      <c r="G202" s="76"/>
      <c r="H202" s="76"/>
      <c r="I202" s="76"/>
      <c r="J202" s="76">
        <v>2</v>
      </c>
      <c r="K202" s="76"/>
      <c r="L202" s="76"/>
      <c r="M202" s="76"/>
    </row>
    <row r="203" spans="1:14" ht="11.85" customHeight="1" x14ac:dyDescent="0.2">
      <c r="A203" s="75">
        <v>203</v>
      </c>
      <c r="B203" s="115">
        <v>4788</v>
      </c>
      <c r="C203" s="76" t="s">
        <v>390</v>
      </c>
      <c r="D203" s="87" t="s">
        <v>704</v>
      </c>
      <c r="G203" s="76" t="s">
        <v>34</v>
      </c>
      <c r="H203" s="76"/>
      <c r="I203" s="76"/>
      <c r="J203" s="76">
        <v>3</v>
      </c>
      <c r="K203" s="76"/>
      <c r="L203" s="76"/>
      <c r="M203" s="76"/>
    </row>
    <row r="204" spans="1:14" ht="11.85" customHeight="1" x14ac:dyDescent="0.2">
      <c r="A204" s="75">
        <v>204</v>
      </c>
      <c r="B204" s="115">
        <v>4794</v>
      </c>
      <c r="C204" s="76" t="s">
        <v>390</v>
      </c>
      <c r="D204" s="87" t="s">
        <v>35</v>
      </c>
      <c r="H204" s="76" t="s">
        <v>36</v>
      </c>
      <c r="I204" s="76"/>
      <c r="J204" s="76">
        <v>4</v>
      </c>
      <c r="K204" s="76"/>
      <c r="L204" s="76"/>
      <c r="M204" s="76"/>
    </row>
    <row r="205" spans="1:14" ht="11.85" customHeight="1" x14ac:dyDescent="0.2">
      <c r="A205" s="75">
        <v>205</v>
      </c>
      <c r="B205" s="116">
        <v>4802</v>
      </c>
      <c r="D205" s="87" t="s">
        <v>37</v>
      </c>
      <c r="I205" s="88" t="s">
        <v>705</v>
      </c>
      <c r="J205" s="88">
        <v>5</v>
      </c>
      <c r="K205" s="84" t="s">
        <v>366</v>
      </c>
      <c r="L205" s="83">
        <v>6</v>
      </c>
      <c r="M205" s="84" t="s">
        <v>366</v>
      </c>
      <c r="N205" s="90" t="s">
        <v>705</v>
      </c>
    </row>
    <row r="206" spans="1:14" ht="11.85" customHeight="1" x14ac:dyDescent="0.2">
      <c r="A206" s="75">
        <v>206</v>
      </c>
      <c r="B206" s="116">
        <v>4819</v>
      </c>
      <c r="D206" s="87" t="s">
        <v>38</v>
      </c>
      <c r="I206" s="88" t="s">
        <v>706</v>
      </c>
      <c r="J206" s="88">
        <v>5</v>
      </c>
      <c r="K206" s="84" t="s">
        <v>366</v>
      </c>
      <c r="L206" s="83">
        <v>6</v>
      </c>
      <c r="M206" s="84" t="s">
        <v>366</v>
      </c>
      <c r="N206" s="90" t="s">
        <v>706</v>
      </c>
    </row>
    <row r="207" spans="1:14" ht="11.85" customHeight="1" x14ac:dyDescent="0.2">
      <c r="A207" s="75">
        <v>207</v>
      </c>
      <c r="B207" s="116">
        <v>4825</v>
      </c>
      <c r="D207" s="87" t="s">
        <v>39</v>
      </c>
      <c r="I207" s="88" t="s">
        <v>679</v>
      </c>
      <c r="J207" s="88">
        <v>5</v>
      </c>
      <c r="K207" s="84" t="s">
        <v>366</v>
      </c>
      <c r="L207" s="83">
        <v>6</v>
      </c>
      <c r="M207" s="84" t="s">
        <v>366</v>
      </c>
      <c r="N207" s="90" t="s">
        <v>679</v>
      </c>
    </row>
    <row r="208" spans="1:14" ht="11.85" customHeight="1" x14ac:dyDescent="0.2">
      <c r="A208" s="75">
        <v>208</v>
      </c>
      <c r="B208" s="116">
        <v>4831</v>
      </c>
      <c r="D208" s="87" t="s">
        <v>40</v>
      </c>
      <c r="I208" s="88" t="s">
        <v>707</v>
      </c>
      <c r="J208" s="88">
        <v>5</v>
      </c>
      <c r="K208" s="84" t="s">
        <v>366</v>
      </c>
      <c r="L208" s="83">
        <v>6</v>
      </c>
      <c r="M208" s="84" t="s">
        <v>366</v>
      </c>
      <c r="N208" s="90" t="s">
        <v>707</v>
      </c>
    </row>
    <row r="209" spans="1:14" ht="11.85" customHeight="1" x14ac:dyDescent="0.2">
      <c r="A209" s="75">
        <v>209</v>
      </c>
      <c r="B209" s="116">
        <v>4848</v>
      </c>
      <c r="D209" s="87" t="s">
        <v>41</v>
      </c>
      <c r="I209" s="88" t="s">
        <v>708</v>
      </c>
      <c r="J209" s="88">
        <v>5</v>
      </c>
      <c r="K209" s="84" t="s">
        <v>366</v>
      </c>
      <c r="L209" s="83">
        <v>6</v>
      </c>
      <c r="M209" s="84" t="s">
        <v>708</v>
      </c>
      <c r="N209" s="90" t="s">
        <v>708</v>
      </c>
    </row>
    <row r="210" spans="1:14" ht="11.85" customHeight="1" x14ac:dyDescent="0.2">
      <c r="A210" s="75">
        <v>210</v>
      </c>
      <c r="B210" s="116">
        <v>4908</v>
      </c>
      <c r="D210" s="87" t="s">
        <v>42</v>
      </c>
      <c r="I210" s="88" t="s">
        <v>709</v>
      </c>
      <c r="J210" s="88">
        <v>5</v>
      </c>
      <c r="K210" s="84" t="s">
        <v>366</v>
      </c>
      <c r="L210" s="83">
        <v>6</v>
      </c>
      <c r="M210" s="84" t="s">
        <v>366</v>
      </c>
      <c r="N210" s="90" t="s">
        <v>709</v>
      </c>
    </row>
    <row r="211" spans="1:14" ht="11.85" customHeight="1" x14ac:dyDescent="0.2">
      <c r="A211" s="75">
        <v>211</v>
      </c>
      <c r="B211" s="116">
        <v>4914</v>
      </c>
      <c r="D211" s="87" t="s">
        <v>43</v>
      </c>
      <c r="I211" s="88" t="s">
        <v>710</v>
      </c>
      <c r="J211" s="88">
        <v>5</v>
      </c>
      <c r="K211" s="84" t="s">
        <v>366</v>
      </c>
      <c r="L211" s="83">
        <v>6</v>
      </c>
      <c r="M211" s="84" t="s">
        <v>366</v>
      </c>
      <c r="N211" s="90" t="s">
        <v>710</v>
      </c>
    </row>
    <row r="212" spans="1:14" ht="11.85" customHeight="1" x14ac:dyDescent="0.2">
      <c r="A212" s="75">
        <v>212</v>
      </c>
      <c r="B212" s="116">
        <v>4921</v>
      </c>
      <c r="D212" s="87" t="s">
        <v>44</v>
      </c>
      <c r="I212" s="88" t="s">
        <v>711</v>
      </c>
      <c r="J212" s="88">
        <v>5</v>
      </c>
      <c r="K212" s="84" t="s">
        <v>366</v>
      </c>
      <c r="L212" s="83">
        <v>6</v>
      </c>
      <c r="M212" s="84" t="s">
        <v>902</v>
      </c>
      <c r="N212" s="90" t="s">
        <v>711</v>
      </c>
    </row>
    <row r="213" spans="1:14" ht="11.85" customHeight="1" x14ac:dyDescent="0.2">
      <c r="A213" s="75">
        <v>213</v>
      </c>
      <c r="B213" s="116">
        <v>4937</v>
      </c>
      <c r="D213" s="87" t="s">
        <v>45</v>
      </c>
      <c r="I213" s="88" t="s">
        <v>712</v>
      </c>
      <c r="J213" s="88">
        <v>5</v>
      </c>
      <c r="K213" s="84" t="s">
        <v>366</v>
      </c>
      <c r="L213" s="83">
        <v>6</v>
      </c>
      <c r="M213" s="84" t="s">
        <v>366</v>
      </c>
      <c r="N213" s="90" t="s">
        <v>712</v>
      </c>
    </row>
    <row r="214" spans="1:14" ht="11.85" customHeight="1" x14ac:dyDescent="0.2">
      <c r="A214" s="75">
        <v>214</v>
      </c>
      <c r="B214" s="116">
        <v>4854</v>
      </c>
      <c r="D214" s="87" t="s">
        <v>46</v>
      </c>
      <c r="I214" s="88" t="s">
        <v>713</v>
      </c>
      <c r="J214" s="88">
        <v>5</v>
      </c>
      <c r="K214" s="84" t="s">
        <v>366</v>
      </c>
      <c r="L214" s="83">
        <v>6</v>
      </c>
      <c r="M214" s="84" t="s">
        <v>924</v>
      </c>
      <c r="N214" s="90" t="s">
        <v>537</v>
      </c>
    </row>
    <row r="215" spans="1:14" ht="11.85" customHeight="1" x14ac:dyDescent="0.2">
      <c r="A215" s="75">
        <v>215</v>
      </c>
      <c r="B215" s="116">
        <v>4861</v>
      </c>
      <c r="D215" s="87" t="s">
        <v>47</v>
      </c>
      <c r="I215" s="88" t="s">
        <v>714</v>
      </c>
      <c r="J215" s="88">
        <v>5</v>
      </c>
      <c r="K215" s="84" t="s">
        <v>366</v>
      </c>
      <c r="L215" s="83">
        <v>6</v>
      </c>
      <c r="M215" s="84" t="s">
        <v>924</v>
      </c>
      <c r="N215" s="90" t="s">
        <v>714</v>
      </c>
    </row>
    <row r="216" spans="1:14" ht="11.85" customHeight="1" x14ac:dyDescent="0.2">
      <c r="A216" s="75">
        <v>216</v>
      </c>
      <c r="B216" s="116">
        <v>6008</v>
      </c>
      <c r="D216" s="87" t="s">
        <v>48</v>
      </c>
      <c r="I216" s="88" t="s">
        <v>715</v>
      </c>
      <c r="J216" s="88">
        <v>5</v>
      </c>
      <c r="K216" s="84" t="s">
        <v>366</v>
      </c>
      <c r="L216" s="83">
        <v>6</v>
      </c>
      <c r="M216" s="84" t="s">
        <v>366</v>
      </c>
      <c r="N216" s="90" t="s">
        <v>715</v>
      </c>
    </row>
    <row r="217" spans="1:14" ht="11.85" customHeight="1" x14ac:dyDescent="0.2">
      <c r="A217" s="75">
        <v>217</v>
      </c>
      <c r="B217" s="116">
        <v>6037</v>
      </c>
      <c r="D217" s="87" t="s">
        <v>49</v>
      </c>
      <c r="I217" s="88" t="s">
        <v>716</v>
      </c>
      <c r="J217" s="88">
        <v>5</v>
      </c>
      <c r="K217" s="84" t="s">
        <v>366</v>
      </c>
      <c r="L217" s="83">
        <v>6</v>
      </c>
      <c r="M217" s="84" t="s">
        <v>924</v>
      </c>
      <c r="N217" s="90" t="s">
        <v>716</v>
      </c>
    </row>
    <row r="218" spans="1:14" ht="11.85" customHeight="1" x14ac:dyDescent="0.2">
      <c r="A218" s="75">
        <v>218</v>
      </c>
      <c r="B218" s="116">
        <v>7077</v>
      </c>
      <c r="D218" s="87" t="s">
        <v>194</v>
      </c>
      <c r="I218" s="88" t="s">
        <v>717</v>
      </c>
      <c r="J218" s="88">
        <v>5</v>
      </c>
      <c r="K218" s="84" t="s">
        <v>366</v>
      </c>
      <c r="L218" s="83">
        <v>6</v>
      </c>
      <c r="M218" s="84" t="s">
        <v>366</v>
      </c>
      <c r="N218" s="90" t="s">
        <v>717</v>
      </c>
    </row>
    <row r="219" spans="1:14" ht="11.85" customHeight="1" x14ac:dyDescent="0.2">
      <c r="A219" s="75">
        <v>219</v>
      </c>
      <c r="B219" s="116">
        <v>7367</v>
      </c>
      <c r="D219" s="87" t="s">
        <v>196</v>
      </c>
      <c r="I219" s="88" t="s">
        <v>718</v>
      </c>
      <c r="J219" s="88">
        <v>5</v>
      </c>
      <c r="K219" s="84" t="s">
        <v>366</v>
      </c>
      <c r="L219" s="83">
        <v>6</v>
      </c>
      <c r="M219" s="84" t="s">
        <v>366</v>
      </c>
      <c r="N219" s="90" t="s">
        <v>718</v>
      </c>
    </row>
    <row r="220" spans="1:14" ht="11.85" customHeight="1" x14ac:dyDescent="0.2">
      <c r="A220" s="75">
        <v>220</v>
      </c>
      <c r="B220" s="116">
        <v>7841</v>
      </c>
      <c r="D220" s="87" t="s">
        <v>286</v>
      </c>
      <c r="I220" s="88" t="s">
        <v>719</v>
      </c>
      <c r="J220" s="88">
        <v>5</v>
      </c>
      <c r="K220" s="84" t="s">
        <v>366</v>
      </c>
      <c r="L220" s="83">
        <v>6</v>
      </c>
      <c r="M220" s="84" t="s">
        <v>366</v>
      </c>
      <c r="N220" s="90" t="s">
        <v>719</v>
      </c>
    </row>
    <row r="221" spans="1:14" ht="11.85" customHeight="1" x14ac:dyDescent="0.2">
      <c r="A221" s="75">
        <v>221</v>
      </c>
      <c r="B221" s="116">
        <v>7597</v>
      </c>
      <c r="D221" s="87" t="s">
        <v>358</v>
      </c>
      <c r="I221" s="88" t="s">
        <v>720</v>
      </c>
      <c r="J221" s="88">
        <v>5</v>
      </c>
      <c r="K221" s="84" t="s">
        <v>366</v>
      </c>
      <c r="L221" s="83">
        <v>6</v>
      </c>
      <c r="M221" s="84" t="s">
        <v>924</v>
      </c>
      <c r="N221" s="90" t="s">
        <v>720</v>
      </c>
    </row>
    <row r="222" spans="1:14" ht="11.85" customHeight="1" x14ac:dyDescent="0.2">
      <c r="A222" s="75">
        <v>222</v>
      </c>
      <c r="B222" s="116">
        <v>7717</v>
      </c>
      <c r="D222" s="87" t="s">
        <v>721</v>
      </c>
      <c r="I222" s="88" t="s">
        <v>532</v>
      </c>
      <c r="J222" s="88">
        <v>5</v>
      </c>
      <c r="K222" s="84" t="s">
        <v>366</v>
      </c>
      <c r="L222" s="83">
        <v>6</v>
      </c>
      <c r="M222" s="84" t="s">
        <v>366</v>
      </c>
      <c r="N222" s="90" t="s">
        <v>532</v>
      </c>
    </row>
    <row r="223" spans="1:14" ht="11.85" customHeight="1" x14ac:dyDescent="0.2">
      <c r="A223" s="75">
        <v>223</v>
      </c>
      <c r="B223" s="116">
        <v>7752</v>
      </c>
      <c r="D223" s="87" t="s">
        <v>722</v>
      </c>
      <c r="I223" s="88" t="s">
        <v>723</v>
      </c>
      <c r="J223" s="88">
        <v>5</v>
      </c>
      <c r="K223" s="84" t="s">
        <v>366</v>
      </c>
      <c r="L223" s="83">
        <v>6</v>
      </c>
      <c r="M223" s="84" t="s">
        <v>366</v>
      </c>
      <c r="N223" s="90" t="s">
        <v>723</v>
      </c>
    </row>
    <row r="224" spans="1:14" ht="11.85" customHeight="1" x14ac:dyDescent="0.2">
      <c r="A224" s="75">
        <v>224</v>
      </c>
      <c r="B224" s="116">
        <v>7835</v>
      </c>
      <c r="D224" s="87" t="s">
        <v>724</v>
      </c>
      <c r="I224" s="88" t="s">
        <v>725</v>
      </c>
      <c r="J224" s="88">
        <v>5</v>
      </c>
      <c r="K224" s="84" t="s">
        <v>366</v>
      </c>
      <c r="L224" s="83">
        <v>6</v>
      </c>
      <c r="M224" s="84" t="s">
        <v>924</v>
      </c>
      <c r="N224" s="90" t="s">
        <v>725</v>
      </c>
    </row>
    <row r="225" spans="1:14" ht="11.85" customHeight="1" x14ac:dyDescent="0.2">
      <c r="A225" s="75">
        <v>225</v>
      </c>
      <c r="B225" s="116">
        <v>9410</v>
      </c>
      <c r="D225" s="87" t="s">
        <v>726</v>
      </c>
      <c r="I225" s="88" t="s">
        <v>727</v>
      </c>
      <c r="J225" s="88">
        <v>5</v>
      </c>
      <c r="K225" s="84" t="s">
        <v>366</v>
      </c>
      <c r="L225" s="83">
        <v>6</v>
      </c>
      <c r="M225" s="84" t="s">
        <v>924</v>
      </c>
      <c r="N225" s="90" t="s">
        <v>727</v>
      </c>
    </row>
    <row r="226" spans="1:14" ht="11.85" customHeight="1" x14ac:dyDescent="0.2">
      <c r="A226" s="75">
        <v>226</v>
      </c>
      <c r="B226" s="116">
        <v>11593</v>
      </c>
      <c r="D226" s="87" t="s">
        <v>728</v>
      </c>
      <c r="I226" s="88" t="s">
        <v>243</v>
      </c>
      <c r="J226" s="88">
        <v>5</v>
      </c>
      <c r="K226" s="84" t="s">
        <v>366</v>
      </c>
      <c r="L226" s="83">
        <v>6</v>
      </c>
      <c r="M226" s="84" t="s">
        <v>924</v>
      </c>
      <c r="N226" s="90" t="s">
        <v>243</v>
      </c>
    </row>
    <row r="227" spans="1:14" ht="11.85" customHeight="1" x14ac:dyDescent="0.2">
      <c r="A227" s="75">
        <v>227</v>
      </c>
      <c r="B227" s="116">
        <v>12629</v>
      </c>
      <c r="D227" s="87" t="s">
        <v>729</v>
      </c>
      <c r="I227" s="88" t="s">
        <v>730</v>
      </c>
      <c r="J227" s="88">
        <v>5</v>
      </c>
      <c r="K227" s="84" t="s">
        <v>366</v>
      </c>
      <c r="L227" s="83">
        <v>6</v>
      </c>
      <c r="M227" s="84" t="s">
        <v>885</v>
      </c>
      <c r="N227" s="90" t="s">
        <v>446</v>
      </c>
    </row>
    <row r="228" spans="1:14" ht="11.85" customHeight="1" x14ac:dyDescent="0.2">
      <c r="A228" s="75">
        <v>228</v>
      </c>
      <c r="B228" s="116">
        <v>13043</v>
      </c>
      <c r="D228" s="87" t="s">
        <v>731</v>
      </c>
      <c r="I228" s="88" t="s">
        <v>315</v>
      </c>
      <c r="J228" s="88">
        <v>5</v>
      </c>
      <c r="K228" s="84" t="s">
        <v>366</v>
      </c>
      <c r="L228" s="83">
        <v>6</v>
      </c>
      <c r="M228" s="84" t="s">
        <v>366</v>
      </c>
      <c r="N228" s="90" t="s">
        <v>315</v>
      </c>
    </row>
    <row r="229" spans="1:14" ht="11.85" customHeight="1" x14ac:dyDescent="0.2">
      <c r="A229" s="75">
        <v>229</v>
      </c>
      <c r="B229" s="116">
        <v>13178</v>
      </c>
      <c r="D229" s="87" t="s">
        <v>732</v>
      </c>
      <c r="I229" s="88" t="s">
        <v>733</v>
      </c>
      <c r="J229" s="88">
        <v>5</v>
      </c>
      <c r="K229" s="84" t="s">
        <v>366</v>
      </c>
      <c r="L229" s="83">
        <v>6</v>
      </c>
      <c r="M229" s="84" t="s">
        <v>903</v>
      </c>
      <c r="N229" s="90" t="s">
        <v>677</v>
      </c>
    </row>
    <row r="230" spans="1:14" ht="11.85" customHeight="1" x14ac:dyDescent="0.2">
      <c r="A230" s="75">
        <v>230</v>
      </c>
      <c r="B230" s="116">
        <v>13184</v>
      </c>
      <c r="D230" s="87" t="s">
        <v>734</v>
      </c>
      <c r="I230" s="88" t="s">
        <v>735</v>
      </c>
      <c r="J230" s="88">
        <v>5</v>
      </c>
      <c r="K230" s="84" t="s">
        <v>366</v>
      </c>
      <c r="L230" s="83">
        <v>6</v>
      </c>
      <c r="M230" s="84" t="s">
        <v>903</v>
      </c>
      <c r="N230" s="90" t="s">
        <v>677</v>
      </c>
    </row>
    <row r="231" spans="1:14" ht="11.85" customHeight="1" x14ac:dyDescent="0.2">
      <c r="A231" s="75">
        <v>231</v>
      </c>
      <c r="B231" s="116">
        <v>4922</v>
      </c>
      <c r="D231" s="87" t="s">
        <v>736</v>
      </c>
      <c r="I231" s="88" t="s">
        <v>737</v>
      </c>
      <c r="J231" s="88">
        <v>5</v>
      </c>
      <c r="K231" s="84" t="s">
        <v>366</v>
      </c>
      <c r="L231" s="83">
        <v>6</v>
      </c>
      <c r="M231" s="84" t="s">
        <v>902</v>
      </c>
      <c r="N231" s="90" t="s">
        <v>737</v>
      </c>
    </row>
    <row r="232" spans="1:14" ht="11.85" customHeight="1" x14ac:dyDescent="0.2">
      <c r="A232" s="75">
        <v>232</v>
      </c>
      <c r="B232" s="116">
        <v>9411</v>
      </c>
      <c r="D232" s="87" t="s">
        <v>738</v>
      </c>
      <c r="I232" s="88" t="s">
        <v>739</v>
      </c>
      <c r="J232" s="88">
        <v>5</v>
      </c>
      <c r="K232" s="84" t="s">
        <v>366</v>
      </c>
      <c r="L232" s="83">
        <v>6</v>
      </c>
      <c r="M232" s="84" t="s">
        <v>924</v>
      </c>
      <c r="N232" s="90" t="s">
        <v>739</v>
      </c>
    </row>
    <row r="233" spans="1:14" ht="11.85" customHeight="1" x14ac:dyDescent="0.2">
      <c r="A233" s="75">
        <v>233</v>
      </c>
      <c r="B233" s="116">
        <v>9412</v>
      </c>
      <c r="D233" s="87" t="s">
        <v>740</v>
      </c>
      <c r="I233" s="88" t="s">
        <v>741</v>
      </c>
      <c r="J233" s="88">
        <v>5</v>
      </c>
      <c r="K233" s="84" t="s">
        <v>366</v>
      </c>
      <c r="L233" s="83">
        <v>6</v>
      </c>
      <c r="M233" s="84" t="s">
        <v>924</v>
      </c>
      <c r="N233" s="90" t="s">
        <v>741</v>
      </c>
    </row>
    <row r="234" spans="1:14" ht="11.85" customHeight="1" x14ac:dyDescent="0.2">
      <c r="A234" s="75">
        <v>234</v>
      </c>
      <c r="B234" s="116">
        <v>9413</v>
      </c>
      <c r="D234" s="87" t="s">
        <v>742</v>
      </c>
      <c r="I234" s="88" t="s">
        <v>743</v>
      </c>
      <c r="J234" s="88">
        <v>5</v>
      </c>
      <c r="K234" s="84" t="s">
        <v>366</v>
      </c>
      <c r="L234" s="83">
        <v>6</v>
      </c>
      <c r="M234" s="84" t="s">
        <v>743</v>
      </c>
      <c r="N234" s="90" t="s">
        <v>743</v>
      </c>
    </row>
    <row r="235" spans="1:14" ht="11.85" customHeight="1" x14ac:dyDescent="0.2">
      <c r="A235" s="75">
        <v>235</v>
      </c>
      <c r="B235" s="126">
        <v>9414</v>
      </c>
      <c r="C235" s="124"/>
      <c r="D235" s="125" t="s">
        <v>1263</v>
      </c>
      <c r="E235" s="124"/>
      <c r="F235" s="124"/>
      <c r="G235" s="124"/>
      <c r="H235" s="124"/>
      <c r="I235" s="123" t="s">
        <v>1264</v>
      </c>
      <c r="J235" s="127">
        <v>5</v>
      </c>
      <c r="K235" s="84" t="s">
        <v>366</v>
      </c>
      <c r="L235" s="83">
        <v>6</v>
      </c>
      <c r="M235" s="84" t="s">
        <v>366</v>
      </c>
      <c r="N235" s="90" t="s">
        <v>1264</v>
      </c>
    </row>
    <row r="236" spans="1:14" ht="11.85" customHeight="1" x14ac:dyDescent="0.2">
      <c r="A236" s="75">
        <v>236</v>
      </c>
      <c r="B236" s="116">
        <v>4883</v>
      </c>
      <c r="D236" s="87" t="s">
        <v>744</v>
      </c>
      <c r="I236" s="88" t="s">
        <v>745</v>
      </c>
      <c r="J236" s="88">
        <v>5</v>
      </c>
      <c r="K236" s="84" t="s">
        <v>366</v>
      </c>
      <c r="L236" s="83">
        <v>6</v>
      </c>
      <c r="M236" s="84" t="s">
        <v>366</v>
      </c>
      <c r="N236" s="90" t="s">
        <v>745</v>
      </c>
    </row>
    <row r="237" spans="1:14" ht="11.85" customHeight="1" x14ac:dyDescent="0.2">
      <c r="A237" s="75">
        <v>237</v>
      </c>
      <c r="B237" s="115">
        <v>5463</v>
      </c>
      <c r="C237" s="76" t="s">
        <v>390</v>
      </c>
      <c r="D237" s="87" t="s">
        <v>119</v>
      </c>
      <c r="H237" s="76" t="s">
        <v>746</v>
      </c>
      <c r="I237" s="76"/>
      <c r="J237" s="76">
        <v>4</v>
      </c>
      <c r="K237" s="76"/>
      <c r="L237" s="76"/>
      <c r="M237" s="76"/>
    </row>
    <row r="238" spans="1:14" ht="11.85" customHeight="1" x14ac:dyDescent="0.2">
      <c r="A238" s="75">
        <v>238</v>
      </c>
      <c r="B238" s="116">
        <v>5078</v>
      </c>
      <c r="D238" s="87" t="s">
        <v>120</v>
      </c>
      <c r="I238" s="88" t="s">
        <v>747</v>
      </c>
      <c r="J238" s="88">
        <v>5</v>
      </c>
      <c r="K238" s="84" t="s">
        <v>367</v>
      </c>
      <c r="L238" s="83">
        <v>7</v>
      </c>
      <c r="M238" s="84" t="s">
        <v>364</v>
      </c>
      <c r="N238" s="90" t="s">
        <v>747</v>
      </c>
    </row>
    <row r="239" spans="1:14" ht="11.85" customHeight="1" x14ac:dyDescent="0.2">
      <c r="A239" s="75">
        <v>239</v>
      </c>
      <c r="B239" s="116">
        <v>5084</v>
      </c>
      <c r="D239" s="87" t="s">
        <v>122</v>
      </c>
      <c r="I239" s="88" t="s">
        <v>79</v>
      </c>
      <c r="J239" s="88">
        <v>5</v>
      </c>
      <c r="K239" s="84" t="s">
        <v>367</v>
      </c>
      <c r="L239" s="83">
        <v>7</v>
      </c>
      <c r="M239" s="84" t="s">
        <v>364</v>
      </c>
      <c r="N239" s="90" t="s">
        <v>79</v>
      </c>
    </row>
    <row r="240" spans="1:14" ht="11.85" customHeight="1" x14ac:dyDescent="0.2">
      <c r="A240" s="75">
        <v>240</v>
      </c>
      <c r="B240" s="116">
        <v>5091</v>
      </c>
      <c r="D240" s="87" t="s">
        <v>124</v>
      </c>
      <c r="I240" s="88" t="s">
        <v>748</v>
      </c>
      <c r="J240" s="88">
        <v>5</v>
      </c>
      <c r="K240" s="84" t="s">
        <v>367</v>
      </c>
      <c r="L240" s="83">
        <v>7</v>
      </c>
      <c r="M240" s="84" t="s">
        <v>364</v>
      </c>
      <c r="N240" s="90" t="s">
        <v>80</v>
      </c>
    </row>
    <row r="241" spans="1:14" ht="11.85" customHeight="1" x14ac:dyDescent="0.2">
      <c r="A241" s="75">
        <v>241</v>
      </c>
      <c r="B241" s="116">
        <v>5109</v>
      </c>
      <c r="D241" s="87" t="s">
        <v>126</v>
      </c>
      <c r="I241" s="88" t="s">
        <v>368</v>
      </c>
      <c r="J241" s="88">
        <v>5</v>
      </c>
      <c r="K241" s="84" t="s">
        <v>367</v>
      </c>
      <c r="L241" s="83">
        <v>7</v>
      </c>
      <c r="M241" s="84" t="s">
        <v>364</v>
      </c>
      <c r="N241" s="90" t="s">
        <v>368</v>
      </c>
    </row>
    <row r="242" spans="1:14" ht="11.85" customHeight="1" x14ac:dyDescent="0.2">
      <c r="A242" s="75">
        <v>242</v>
      </c>
      <c r="B242" s="116">
        <v>5115</v>
      </c>
      <c r="D242" s="87" t="s">
        <v>128</v>
      </c>
      <c r="I242" s="88" t="s">
        <v>749</v>
      </c>
      <c r="J242" s="88">
        <v>5</v>
      </c>
      <c r="K242" s="84" t="s">
        <v>367</v>
      </c>
      <c r="L242" s="83">
        <v>7</v>
      </c>
      <c r="M242" s="84" t="s">
        <v>364</v>
      </c>
      <c r="N242" s="90" t="s">
        <v>749</v>
      </c>
    </row>
    <row r="243" spans="1:14" ht="11.85" customHeight="1" x14ac:dyDescent="0.2">
      <c r="A243" s="75">
        <v>243</v>
      </c>
      <c r="B243" s="116">
        <v>5121</v>
      </c>
      <c r="D243" s="87" t="s">
        <v>50</v>
      </c>
      <c r="I243" s="88" t="s">
        <v>82</v>
      </c>
      <c r="J243" s="88">
        <v>5</v>
      </c>
      <c r="K243" s="84" t="s">
        <v>367</v>
      </c>
      <c r="L243" s="83">
        <v>7</v>
      </c>
      <c r="M243" s="84" t="s">
        <v>364</v>
      </c>
      <c r="N243" s="90" t="s">
        <v>82</v>
      </c>
    </row>
    <row r="244" spans="1:14" ht="11.85" customHeight="1" x14ac:dyDescent="0.2">
      <c r="A244" s="75">
        <v>244</v>
      </c>
      <c r="B244" s="116">
        <v>5138</v>
      </c>
      <c r="D244" s="87" t="s">
        <v>51</v>
      </c>
      <c r="I244" s="88" t="s">
        <v>750</v>
      </c>
      <c r="J244" s="88">
        <v>5</v>
      </c>
      <c r="K244" s="84" t="s">
        <v>367</v>
      </c>
      <c r="L244" s="83">
        <v>7</v>
      </c>
      <c r="M244" s="84" t="s">
        <v>364</v>
      </c>
      <c r="N244" s="90" t="s">
        <v>750</v>
      </c>
    </row>
    <row r="245" spans="1:14" ht="11.85" customHeight="1" x14ac:dyDescent="0.2">
      <c r="A245" s="75">
        <v>245</v>
      </c>
      <c r="B245" s="116">
        <v>5144</v>
      </c>
      <c r="D245" s="87" t="s">
        <v>52</v>
      </c>
      <c r="I245" s="88" t="s">
        <v>751</v>
      </c>
      <c r="J245" s="88">
        <v>5</v>
      </c>
      <c r="K245" s="84" t="s">
        <v>367</v>
      </c>
      <c r="L245" s="83">
        <v>7</v>
      </c>
      <c r="M245" s="84" t="s">
        <v>364</v>
      </c>
      <c r="N245" s="90" t="s">
        <v>751</v>
      </c>
    </row>
    <row r="246" spans="1:14" ht="11.85" customHeight="1" x14ac:dyDescent="0.2">
      <c r="A246" s="75">
        <v>246</v>
      </c>
      <c r="B246" s="116">
        <v>8208</v>
      </c>
      <c r="D246" s="87" t="s">
        <v>209</v>
      </c>
      <c r="I246" s="88" t="s">
        <v>752</v>
      </c>
      <c r="J246" s="88">
        <v>5</v>
      </c>
      <c r="K246" s="84" t="s">
        <v>367</v>
      </c>
      <c r="L246" s="83">
        <v>7</v>
      </c>
      <c r="M246" s="84" t="s">
        <v>364</v>
      </c>
      <c r="N246" s="90" t="s">
        <v>71</v>
      </c>
    </row>
    <row r="247" spans="1:14" ht="11.85" customHeight="1" x14ac:dyDescent="0.2">
      <c r="A247" s="75">
        <v>247</v>
      </c>
      <c r="B247" s="116">
        <v>8639</v>
      </c>
      <c r="D247" s="87" t="s">
        <v>210</v>
      </c>
      <c r="I247" s="88" t="s">
        <v>753</v>
      </c>
      <c r="J247" s="88">
        <v>5</v>
      </c>
      <c r="K247" s="84" t="s">
        <v>367</v>
      </c>
      <c r="L247" s="83">
        <v>7</v>
      </c>
      <c r="M247" s="84" t="s">
        <v>364</v>
      </c>
      <c r="N247" s="90" t="s">
        <v>921</v>
      </c>
    </row>
    <row r="248" spans="1:14" ht="11.85" customHeight="1" x14ac:dyDescent="0.2">
      <c r="A248" s="75">
        <v>248</v>
      </c>
      <c r="B248" s="116">
        <v>5139</v>
      </c>
      <c r="D248" s="87" t="s">
        <v>754</v>
      </c>
      <c r="I248" s="88" t="s">
        <v>755</v>
      </c>
      <c r="J248" s="88">
        <v>5</v>
      </c>
      <c r="K248" s="84" t="s">
        <v>367</v>
      </c>
      <c r="L248" s="83">
        <v>7</v>
      </c>
      <c r="M248" s="84" t="s">
        <v>364</v>
      </c>
      <c r="N248" s="90" t="s">
        <v>755</v>
      </c>
    </row>
    <row r="249" spans="1:14" ht="11.85" customHeight="1" x14ac:dyDescent="0.2">
      <c r="A249" s="75">
        <v>249</v>
      </c>
      <c r="B249" s="115">
        <v>12144</v>
      </c>
      <c r="C249" s="76" t="s">
        <v>390</v>
      </c>
      <c r="D249" s="87" t="s">
        <v>53</v>
      </c>
      <c r="H249" s="76" t="s">
        <v>54</v>
      </c>
      <c r="I249" s="76"/>
      <c r="J249" s="76">
        <v>4</v>
      </c>
      <c r="K249" s="76"/>
      <c r="L249" s="76"/>
      <c r="M249" s="76"/>
    </row>
    <row r="250" spans="1:14" ht="11.85" customHeight="1" x14ac:dyDescent="0.2">
      <c r="A250" s="75">
        <v>250</v>
      </c>
      <c r="B250" s="116">
        <v>5167</v>
      </c>
      <c r="D250" s="87" t="s">
        <v>55</v>
      </c>
      <c r="I250" s="88" t="s">
        <v>756</v>
      </c>
      <c r="J250" s="88">
        <v>5</v>
      </c>
      <c r="K250" s="84" t="s">
        <v>367</v>
      </c>
      <c r="L250" s="83">
        <v>7</v>
      </c>
      <c r="M250" s="84" t="s">
        <v>258</v>
      </c>
      <c r="N250" s="90" t="s">
        <v>756</v>
      </c>
    </row>
    <row r="251" spans="1:14" ht="11.85" customHeight="1" x14ac:dyDescent="0.2">
      <c r="A251" s="75">
        <v>251</v>
      </c>
      <c r="B251" s="116">
        <v>5173</v>
      </c>
      <c r="D251" s="87" t="s">
        <v>56</v>
      </c>
      <c r="I251" s="88" t="s">
        <v>172</v>
      </c>
      <c r="J251" s="88">
        <v>5</v>
      </c>
      <c r="K251" s="84" t="s">
        <v>367</v>
      </c>
      <c r="L251" s="83">
        <v>7</v>
      </c>
      <c r="M251" s="84" t="s">
        <v>258</v>
      </c>
      <c r="N251" s="90" t="s">
        <v>172</v>
      </c>
    </row>
    <row r="252" spans="1:14" ht="11.85" customHeight="1" x14ac:dyDescent="0.2">
      <c r="A252" s="75">
        <v>252</v>
      </c>
      <c r="B252" s="116">
        <v>5180</v>
      </c>
      <c r="D252" s="87" t="s">
        <v>57</v>
      </c>
      <c r="I252" s="88" t="s">
        <v>757</v>
      </c>
      <c r="J252" s="88">
        <v>5</v>
      </c>
      <c r="K252" s="84" t="s">
        <v>367</v>
      </c>
      <c r="L252" s="83">
        <v>7</v>
      </c>
      <c r="M252" s="84" t="s">
        <v>258</v>
      </c>
      <c r="N252" s="90" t="s">
        <v>757</v>
      </c>
    </row>
    <row r="253" spans="1:14" ht="11.85" customHeight="1" x14ac:dyDescent="0.2">
      <c r="A253" s="75">
        <v>253</v>
      </c>
      <c r="B253" s="116">
        <v>5196</v>
      </c>
      <c r="D253" s="87" t="s">
        <v>58</v>
      </c>
      <c r="I253" s="88" t="s">
        <v>174</v>
      </c>
      <c r="J253" s="88">
        <v>5</v>
      </c>
      <c r="K253" s="84" t="s">
        <v>367</v>
      </c>
      <c r="L253" s="83">
        <v>7</v>
      </c>
      <c r="M253" s="84" t="s">
        <v>258</v>
      </c>
      <c r="N253" s="90" t="s">
        <v>174</v>
      </c>
    </row>
    <row r="254" spans="1:14" ht="11.85" customHeight="1" x14ac:dyDescent="0.2">
      <c r="A254" s="75">
        <v>254</v>
      </c>
      <c r="B254" s="116">
        <v>5204</v>
      </c>
      <c r="D254" s="87" t="s">
        <v>758</v>
      </c>
      <c r="I254" s="88" t="s">
        <v>759</v>
      </c>
      <c r="J254" s="88">
        <v>5</v>
      </c>
      <c r="K254" s="84" t="s">
        <v>367</v>
      </c>
      <c r="L254" s="83">
        <v>7</v>
      </c>
      <c r="M254" s="84" t="s">
        <v>903</v>
      </c>
      <c r="N254" s="90" t="s">
        <v>759</v>
      </c>
    </row>
    <row r="255" spans="1:14" ht="11.85" customHeight="1" x14ac:dyDescent="0.2">
      <c r="A255" s="75">
        <v>255</v>
      </c>
      <c r="B255" s="116">
        <v>5211</v>
      </c>
      <c r="D255" s="87" t="s">
        <v>760</v>
      </c>
      <c r="I255" s="88" t="s">
        <v>176</v>
      </c>
      <c r="J255" s="88">
        <v>5</v>
      </c>
      <c r="K255" s="84" t="s">
        <v>367</v>
      </c>
      <c r="L255" s="83">
        <v>7</v>
      </c>
      <c r="M255" s="84" t="s">
        <v>258</v>
      </c>
      <c r="N255" s="90" t="s">
        <v>176</v>
      </c>
    </row>
    <row r="256" spans="1:14" ht="11.85" customHeight="1" x14ac:dyDescent="0.2">
      <c r="A256" s="75">
        <v>256</v>
      </c>
      <c r="B256" s="116">
        <v>5227</v>
      </c>
      <c r="D256" s="87" t="s">
        <v>761</v>
      </c>
      <c r="I256" s="88" t="s">
        <v>762</v>
      </c>
      <c r="J256" s="88">
        <v>5</v>
      </c>
      <c r="K256" s="84" t="s">
        <v>367</v>
      </c>
      <c r="L256" s="83">
        <v>7</v>
      </c>
      <c r="M256" s="84" t="s">
        <v>258</v>
      </c>
      <c r="N256" s="90" t="s">
        <v>762</v>
      </c>
    </row>
    <row r="257" spans="1:14" ht="11.85" customHeight="1" x14ac:dyDescent="0.2">
      <c r="A257" s="75">
        <v>257</v>
      </c>
      <c r="B257" s="116">
        <v>5664</v>
      </c>
      <c r="D257" s="87" t="s">
        <v>763</v>
      </c>
      <c r="I257" s="88" t="s">
        <v>184</v>
      </c>
      <c r="J257" s="88">
        <v>5</v>
      </c>
      <c r="K257" s="84" t="s">
        <v>367</v>
      </c>
      <c r="L257" s="83">
        <v>7</v>
      </c>
      <c r="M257" s="84" t="s">
        <v>258</v>
      </c>
      <c r="N257" s="90" t="s">
        <v>184</v>
      </c>
    </row>
    <row r="258" spans="1:14" ht="11.85" customHeight="1" x14ac:dyDescent="0.2">
      <c r="A258" s="75">
        <v>258</v>
      </c>
      <c r="B258" s="116">
        <v>5671</v>
      </c>
      <c r="D258" s="87" t="s">
        <v>764</v>
      </c>
      <c r="I258" s="88" t="s">
        <v>173</v>
      </c>
      <c r="J258" s="88">
        <v>5</v>
      </c>
      <c r="K258" s="84" t="s">
        <v>367</v>
      </c>
      <c r="L258" s="83">
        <v>7</v>
      </c>
      <c r="M258" s="84" t="s">
        <v>258</v>
      </c>
      <c r="N258" s="90" t="s">
        <v>173</v>
      </c>
    </row>
    <row r="259" spans="1:14" ht="11.85" customHeight="1" x14ac:dyDescent="0.2">
      <c r="A259" s="75">
        <v>259</v>
      </c>
      <c r="B259" s="116">
        <v>5687</v>
      </c>
      <c r="D259" s="87" t="s">
        <v>765</v>
      </c>
      <c r="I259" s="88" t="s">
        <v>179</v>
      </c>
      <c r="J259" s="88">
        <v>5</v>
      </c>
      <c r="K259" s="84" t="s">
        <v>367</v>
      </c>
      <c r="L259" s="83">
        <v>7</v>
      </c>
      <c r="M259" s="84" t="s">
        <v>258</v>
      </c>
      <c r="N259" s="90" t="s">
        <v>179</v>
      </c>
    </row>
    <row r="260" spans="1:14" ht="11.85" customHeight="1" x14ac:dyDescent="0.2">
      <c r="A260" s="75">
        <v>260</v>
      </c>
      <c r="B260" s="116">
        <v>5693</v>
      </c>
      <c r="D260" s="87" t="s">
        <v>766</v>
      </c>
      <c r="I260" s="88" t="s">
        <v>767</v>
      </c>
      <c r="J260" s="88">
        <v>5</v>
      </c>
      <c r="K260" s="84" t="s">
        <v>367</v>
      </c>
      <c r="L260" s="83">
        <v>7</v>
      </c>
      <c r="M260" s="84" t="s">
        <v>258</v>
      </c>
      <c r="N260" s="90" t="s">
        <v>767</v>
      </c>
    </row>
    <row r="261" spans="1:14" ht="11.85" customHeight="1" x14ac:dyDescent="0.2">
      <c r="A261" s="75">
        <v>261</v>
      </c>
      <c r="B261" s="116">
        <v>6014</v>
      </c>
      <c r="D261" s="87" t="s">
        <v>768</v>
      </c>
      <c r="I261" s="88" t="s">
        <v>769</v>
      </c>
      <c r="J261" s="88">
        <v>5</v>
      </c>
      <c r="K261" s="84" t="s">
        <v>367</v>
      </c>
      <c r="L261" s="83">
        <v>7</v>
      </c>
      <c r="M261" s="84" t="s">
        <v>258</v>
      </c>
      <c r="N261" s="90" t="s">
        <v>769</v>
      </c>
    </row>
    <row r="262" spans="1:14" ht="11.85" customHeight="1" x14ac:dyDescent="0.2">
      <c r="A262" s="75">
        <v>262</v>
      </c>
      <c r="B262" s="116">
        <v>6787</v>
      </c>
      <c r="D262" s="87" t="s">
        <v>770</v>
      </c>
      <c r="I262" s="88" t="s">
        <v>771</v>
      </c>
      <c r="J262" s="88">
        <v>5</v>
      </c>
      <c r="K262" s="84" t="s">
        <v>367</v>
      </c>
      <c r="L262" s="83">
        <v>7</v>
      </c>
      <c r="M262" s="84" t="s">
        <v>258</v>
      </c>
      <c r="N262" s="90" t="s">
        <v>771</v>
      </c>
    </row>
    <row r="263" spans="1:14" ht="11.85" customHeight="1" x14ac:dyDescent="0.2">
      <c r="A263" s="75">
        <v>263</v>
      </c>
      <c r="B263" s="116">
        <v>7769</v>
      </c>
      <c r="D263" s="87" t="s">
        <v>772</v>
      </c>
      <c r="I263" s="88" t="s">
        <v>773</v>
      </c>
      <c r="J263" s="88">
        <v>5</v>
      </c>
      <c r="K263" s="84" t="s">
        <v>367</v>
      </c>
      <c r="L263" s="83">
        <v>7</v>
      </c>
      <c r="M263" s="84" t="s">
        <v>258</v>
      </c>
      <c r="N263" s="90" t="s">
        <v>773</v>
      </c>
    </row>
    <row r="264" spans="1:14" ht="11.85" customHeight="1" x14ac:dyDescent="0.2">
      <c r="A264" s="75">
        <v>264</v>
      </c>
      <c r="B264" s="116">
        <v>8020</v>
      </c>
      <c r="D264" s="87" t="s">
        <v>774</v>
      </c>
      <c r="I264" s="88" t="s">
        <v>171</v>
      </c>
      <c r="J264" s="88">
        <v>5</v>
      </c>
      <c r="K264" s="84" t="s">
        <v>367</v>
      </c>
      <c r="L264" s="83">
        <v>7</v>
      </c>
      <c r="M264" s="84" t="s">
        <v>258</v>
      </c>
      <c r="N264" s="90" t="s">
        <v>171</v>
      </c>
    </row>
    <row r="265" spans="1:14" ht="11.85" customHeight="1" x14ac:dyDescent="0.2">
      <c r="A265" s="75">
        <v>265</v>
      </c>
      <c r="B265" s="116">
        <v>8036</v>
      </c>
      <c r="D265" s="87" t="s">
        <v>775</v>
      </c>
      <c r="I265" s="88" t="s">
        <v>178</v>
      </c>
      <c r="J265" s="88">
        <v>5</v>
      </c>
      <c r="K265" s="84" t="s">
        <v>367</v>
      </c>
      <c r="L265" s="83">
        <v>7</v>
      </c>
      <c r="M265" s="84" t="s">
        <v>258</v>
      </c>
      <c r="N265" s="90" t="s">
        <v>178</v>
      </c>
    </row>
    <row r="266" spans="1:14" ht="11.85" customHeight="1" x14ac:dyDescent="0.2">
      <c r="A266" s="75">
        <v>266</v>
      </c>
      <c r="B266" s="116">
        <v>12813</v>
      </c>
      <c r="D266" s="87" t="s">
        <v>776</v>
      </c>
      <c r="I266" s="88" t="s">
        <v>777</v>
      </c>
      <c r="J266" s="88">
        <v>5</v>
      </c>
      <c r="K266" s="84" t="s">
        <v>367</v>
      </c>
      <c r="L266" s="83">
        <v>7</v>
      </c>
      <c r="M266" s="84" t="s">
        <v>258</v>
      </c>
      <c r="N266" s="90" t="s">
        <v>777</v>
      </c>
    </row>
    <row r="267" spans="1:14" ht="11.85" customHeight="1" x14ac:dyDescent="0.2">
      <c r="A267" s="75">
        <v>267</v>
      </c>
      <c r="B267" s="116">
        <v>13008</v>
      </c>
      <c r="D267" s="87" t="s">
        <v>778</v>
      </c>
      <c r="I267" s="88" t="s">
        <v>181</v>
      </c>
      <c r="J267" s="88">
        <v>5</v>
      </c>
      <c r="K267" s="84" t="s">
        <v>367</v>
      </c>
      <c r="L267" s="83">
        <v>7</v>
      </c>
      <c r="M267" s="84" t="s">
        <v>258</v>
      </c>
      <c r="N267" s="90" t="s">
        <v>181</v>
      </c>
    </row>
    <row r="268" spans="1:14" ht="11.85" customHeight="1" x14ac:dyDescent="0.2">
      <c r="A268" s="75">
        <v>268</v>
      </c>
      <c r="B268" s="116">
        <v>13050</v>
      </c>
      <c r="D268" s="87" t="s">
        <v>779</v>
      </c>
      <c r="I268" s="88" t="s">
        <v>780</v>
      </c>
      <c r="J268" s="88">
        <v>5</v>
      </c>
      <c r="K268" s="84" t="s">
        <v>367</v>
      </c>
      <c r="L268" s="83">
        <v>7</v>
      </c>
      <c r="M268" s="84" t="s">
        <v>258</v>
      </c>
      <c r="N268" s="90" t="s">
        <v>780</v>
      </c>
    </row>
    <row r="269" spans="1:14" ht="11.85" customHeight="1" x14ac:dyDescent="0.2">
      <c r="A269" s="75">
        <v>269</v>
      </c>
      <c r="B269" s="116">
        <v>13051</v>
      </c>
      <c r="D269" s="87" t="s">
        <v>781</v>
      </c>
      <c r="I269" s="88" t="s">
        <v>782</v>
      </c>
      <c r="J269" s="88">
        <v>5</v>
      </c>
      <c r="K269" s="84" t="s">
        <v>367</v>
      </c>
      <c r="L269" s="83">
        <v>7</v>
      </c>
      <c r="M269" s="84" t="s">
        <v>258</v>
      </c>
      <c r="N269" s="90" t="s">
        <v>782</v>
      </c>
    </row>
    <row r="270" spans="1:14" ht="11.85" customHeight="1" x14ac:dyDescent="0.2">
      <c r="A270" s="75">
        <v>270</v>
      </c>
      <c r="B270" s="116">
        <v>5240</v>
      </c>
      <c r="D270" s="87" t="s">
        <v>783</v>
      </c>
      <c r="I270" s="88" t="s">
        <v>317</v>
      </c>
      <c r="J270" s="88">
        <v>5</v>
      </c>
      <c r="K270" s="84" t="s">
        <v>367</v>
      </c>
      <c r="L270" s="83">
        <v>7</v>
      </c>
      <c r="M270" s="84" t="s">
        <v>258</v>
      </c>
      <c r="N270" s="90" t="s">
        <v>317</v>
      </c>
    </row>
    <row r="271" spans="1:14" ht="11.85" customHeight="1" x14ac:dyDescent="0.2">
      <c r="A271" s="75">
        <v>271</v>
      </c>
      <c r="B271" s="115">
        <v>5256</v>
      </c>
      <c r="C271" s="76" t="s">
        <v>390</v>
      </c>
      <c r="D271" s="87" t="s">
        <v>784</v>
      </c>
      <c r="G271" s="76" t="s">
        <v>785</v>
      </c>
      <c r="H271" s="76"/>
      <c r="I271" s="76"/>
      <c r="J271" s="76">
        <v>3</v>
      </c>
      <c r="K271" s="76"/>
      <c r="L271" s="76"/>
      <c r="M271" s="76"/>
    </row>
    <row r="272" spans="1:14" ht="11.85" customHeight="1" x14ac:dyDescent="0.2">
      <c r="A272" s="75">
        <v>272</v>
      </c>
      <c r="B272" s="115">
        <v>5262</v>
      </c>
      <c r="C272" s="76" t="s">
        <v>390</v>
      </c>
      <c r="D272" s="87" t="s">
        <v>786</v>
      </c>
      <c r="H272" s="76" t="s">
        <v>787</v>
      </c>
      <c r="I272" s="76"/>
      <c r="J272" s="76">
        <v>4</v>
      </c>
      <c r="K272" s="76"/>
      <c r="L272" s="76"/>
      <c r="M272" s="76"/>
    </row>
    <row r="273" spans="1:14" ht="11.85" customHeight="1" x14ac:dyDescent="0.2">
      <c r="A273" s="75">
        <v>273</v>
      </c>
      <c r="B273" s="116">
        <v>5581</v>
      </c>
      <c r="D273" s="87" t="s">
        <v>788</v>
      </c>
      <c r="I273" s="88" t="s">
        <v>517</v>
      </c>
      <c r="J273" s="88">
        <v>5</v>
      </c>
      <c r="K273" s="84" t="s">
        <v>888</v>
      </c>
      <c r="L273" s="83">
        <v>5</v>
      </c>
      <c r="M273" s="84" t="s">
        <v>889</v>
      </c>
      <c r="N273" s="90" t="s">
        <v>517</v>
      </c>
    </row>
    <row r="274" spans="1:14" ht="11.85" customHeight="1" x14ac:dyDescent="0.2">
      <c r="A274" s="75">
        <v>274</v>
      </c>
      <c r="B274" s="116">
        <v>5598</v>
      </c>
      <c r="D274" s="87" t="s">
        <v>789</v>
      </c>
      <c r="I274" s="88" t="s">
        <v>790</v>
      </c>
      <c r="J274" s="88">
        <v>5</v>
      </c>
      <c r="K274" s="84" t="s">
        <v>888</v>
      </c>
      <c r="L274" s="83">
        <v>5</v>
      </c>
      <c r="M274" s="84" t="s">
        <v>889</v>
      </c>
      <c r="N274" s="90" t="s">
        <v>795</v>
      </c>
    </row>
    <row r="275" spans="1:14" ht="11.85" customHeight="1" x14ac:dyDescent="0.2">
      <c r="A275" s="75">
        <v>275</v>
      </c>
      <c r="B275" s="116">
        <v>5606</v>
      </c>
      <c r="D275" s="87" t="s">
        <v>791</v>
      </c>
      <c r="I275" s="88" t="s">
        <v>792</v>
      </c>
      <c r="J275" s="88">
        <v>5</v>
      </c>
      <c r="K275" s="84" t="s">
        <v>888</v>
      </c>
      <c r="L275" s="83">
        <v>5</v>
      </c>
      <c r="M275" s="84" t="s">
        <v>889</v>
      </c>
      <c r="N275" s="90" t="s">
        <v>792</v>
      </c>
    </row>
    <row r="276" spans="1:14" ht="11.85" customHeight="1" x14ac:dyDescent="0.2">
      <c r="A276" s="75">
        <v>276</v>
      </c>
      <c r="B276" s="116">
        <v>5612</v>
      </c>
      <c r="D276" s="87" t="s">
        <v>793</v>
      </c>
      <c r="I276" s="88" t="s">
        <v>170</v>
      </c>
      <c r="J276" s="88">
        <v>5</v>
      </c>
      <c r="K276" s="84" t="s">
        <v>888</v>
      </c>
      <c r="L276" s="83">
        <v>5</v>
      </c>
      <c r="M276" s="84" t="s">
        <v>889</v>
      </c>
      <c r="N276" s="90" t="s">
        <v>170</v>
      </c>
    </row>
    <row r="277" spans="1:14" ht="11.85" customHeight="1" x14ac:dyDescent="0.2">
      <c r="A277" s="75">
        <v>277</v>
      </c>
      <c r="B277" s="116">
        <v>5613</v>
      </c>
      <c r="D277" s="87" t="s">
        <v>1251</v>
      </c>
      <c r="I277" s="88" t="s">
        <v>1252</v>
      </c>
      <c r="J277" s="88">
        <v>5</v>
      </c>
      <c r="K277" s="84" t="s">
        <v>888</v>
      </c>
      <c r="L277" s="83">
        <v>5</v>
      </c>
      <c r="M277" s="84" t="s">
        <v>889</v>
      </c>
      <c r="N277" s="90" t="s">
        <v>1252</v>
      </c>
    </row>
    <row r="278" spans="1:14" ht="11.85" customHeight="1" x14ac:dyDescent="0.2">
      <c r="A278" s="75">
        <v>278</v>
      </c>
      <c r="B278" s="115">
        <v>5300</v>
      </c>
      <c r="C278" s="76" t="s">
        <v>390</v>
      </c>
      <c r="D278" s="87" t="s">
        <v>59</v>
      </c>
      <c r="H278" s="76" t="s">
        <v>794</v>
      </c>
      <c r="I278" s="76"/>
      <c r="J278" s="76">
        <v>4</v>
      </c>
      <c r="K278" s="76"/>
      <c r="L278" s="76"/>
      <c r="M278" s="76"/>
    </row>
    <row r="279" spans="1:14" ht="11.85" customHeight="1" x14ac:dyDescent="0.2">
      <c r="A279" s="75">
        <v>279</v>
      </c>
      <c r="B279" s="116">
        <v>5501</v>
      </c>
      <c r="D279" s="87" t="s">
        <v>60</v>
      </c>
      <c r="I279" s="88" t="s">
        <v>517</v>
      </c>
      <c r="J279" s="88">
        <v>5</v>
      </c>
      <c r="K279" s="84" t="s">
        <v>888</v>
      </c>
      <c r="L279" s="83">
        <v>5</v>
      </c>
      <c r="M279" s="84" t="s">
        <v>890</v>
      </c>
      <c r="N279" s="90" t="s">
        <v>517</v>
      </c>
    </row>
    <row r="280" spans="1:14" ht="11.85" customHeight="1" x14ac:dyDescent="0.2">
      <c r="A280" s="75">
        <v>280</v>
      </c>
      <c r="B280" s="116">
        <v>5517</v>
      </c>
      <c r="D280" s="87" t="s">
        <v>61</v>
      </c>
      <c r="I280" s="88" t="s">
        <v>795</v>
      </c>
      <c r="J280" s="88">
        <v>5</v>
      </c>
      <c r="K280" s="84" t="s">
        <v>888</v>
      </c>
      <c r="L280" s="83">
        <v>5</v>
      </c>
      <c r="M280" s="84" t="s">
        <v>890</v>
      </c>
      <c r="N280" s="90" t="s">
        <v>795</v>
      </c>
    </row>
    <row r="281" spans="1:14" ht="11.85" customHeight="1" x14ac:dyDescent="0.2">
      <c r="A281" s="75">
        <v>281</v>
      </c>
      <c r="B281" s="116">
        <v>5523</v>
      </c>
      <c r="D281" s="87" t="s">
        <v>62</v>
      </c>
      <c r="I281" s="88" t="s">
        <v>792</v>
      </c>
      <c r="J281" s="88">
        <v>5</v>
      </c>
      <c r="K281" s="84" t="s">
        <v>888</v>
      </c>
      <c r="L281" s="83">
        <v>5</v>
      </c>
      <c r="M281" s="84" t="s">
        <v>890</v>
      </c>
      <c r="N281" s="90" t="s">
        <v>792</v>
      </c>
    </row>
    <row r="282" spans="1:14" ht="11.85" customHeight="1" x14ac:dyDescent="0.2">
      <c r="A282" s="75">
        <v>282</v>
      </c>
      <c r="B282" s="116">
        <v>5530</v>
      </c>
      <c r="D282" s="87" t="s">
        <v>63</v>
      </c>
      <c r="I282" s="88" t="s">
        <v>170</v>
      </c>
      <c r="J282" s="88">
        <v>5</v>
      </c>
      <c r="K282" s="84" t="s">
        <v>888</v>
      </c>
      <c r="L282" s="83">
        <v>5</v>
      </c>
      <c r="M282" s="84" t="s">
        <v>890</v>
      </c>
      <c r="N282" s="90" t="s">
        <v>170</v>
      </c>
    </row>
    <row r="283" spans="1:14" ht="11.85" customHeight="1" x14ac:dyDescent="0.2">
      <c r="A283" s="75">
        <v>283</v>
      </c>
      <c r="B283" s="114">
        <v>5531</v>
      </c>
      <c r="D283" s="87" t="s">
        <v>1253</v>
      </c>
      <c r="I283" s="88" t="s">
        <v>660</v>
      </c>
      <c r="J283" s="88">
        <v>5</v>
      </c>
      <c r="K283" s="84" t="s">
        <v>888</v>
      </c>
      <c r="L283" s="83">
        <v>5</v>
      </c>
      <c r="M283" s="84" t="s">
        <v>890</v>
      </c>
      <c r="N283" s="90" t="s">
        <v>660</v>
      </c>
    </row>
    <row r="284" spans="1:14" ht="11.85" customHeight="1" x14ac:dyDescent="0.2">
      <c r="A284" s="75">
        <v>284</v>
      </c>
      <c r="B284" s="115">
        <v>11966</v>
      </c>
      <c r="C284" s="76" t="s">
        <v>390</v>
      </c>
      <c r="D284" s="87" t="s">
        <v>796</v>
      </c>
      <c r="H284" s="76" t="s">
        <v>797</v>
      </c>
      <c r="I284" s="76"/>
      <c r="J284" s="76">
        <v>4</v>
      </c>
      <c r="K284" s="76"/>
      <c r="L284" s="76"/>
      <c r="M284" s="76"/>
    </row>
    <row r="285" spans="1:14" ht="11.85" customHeight="1" x14ac:dyDescent="0.2">
      <c r="A285" s="75">
        <v>285</v>
      </c>
      <c r="B285" s="116">
        <v>5546</v>
      </c>
      <c r="D285" s="87" t="s">
        <v>798</v>
      </c>
      <c r="I285" s="88" t="s">
        <v>517</v>
      </c>
      <c r="J285" s="88">
        <v>5</v>
      </c>
      <c r="K285" s="84" t="s">
        <v>888</v>
      </c>
      <c r="L285" s="83">
        <v>5</v>
      </c>
      <c r="M285" s="84" t="s">
        <v>891</v>
      </c>
      <c r="N285" s="90" t="s">
        <v>517</v>
      </c>
    </row>
    <row r="286" spans="1:14" ht="11.85" customHeight="1" x14ac:dyDescent="0.2">
      <c r="A286" s="75">
        <v>286</v>
      </c>
      <c r="B286" s="116">
        <v>5552</v>
      </c>
      <c r="D286" s="87" t="s">
        <v>799</v>
      </c>
      <c r="I286" s="88" t="s">
        <v>795</v>
      </c>
      <c r="J286" s="88">
        <v>5</v>
      </c>
      <c r="K286" s="84" t="s">
        <v>888</v>
      </c>
      <c r="L286" s="83">
        <v>5</v>
      </c>
      <c r="M286" s="84" t="s">
        <v>891</v>
      </c>
      <c r="N286" s="90" t="s">
        <v>795</v>
      </c>
    </row>
    <row r="287" spans="1:14" ht="11.85" customHeight="1" x14ac:dyDescent="0.2">
      <c r="A287" s="75">
        <v>287</v>
      </c>
      <c r="B287" s="116">
        <v>5569</v>
      </c>
      <c r="D287" s="87" t="s">
        <v>800</v>
      </c>
      <c r="I287" s="88" t="s">
        <v>792</v>
      </c>
      <c r="J287" s="88">
        <v>5</v>
      </c>
      <c r="K287" s="84" t="s">
        <v>888</v>
      </c>
      <c r="L287" s="83">
        <v>5</v>
      </c>
      <c r="M287" s="84" t="s">
        <v>891</v>
      </c>
      <c r="N287" s="90" t="s">
        <v>792</v>
      </c>
    </row>
    <row r="288" spans="1:14" ht="11.85" customHeight="1" x14ac:dyDescent="0.2">
      <c r="A288" s="75">
        <v>288</v>
      </c>
      <c r="B288" s="116">
        <v>5575</v>
      </c>
      <c r="D288" s="87" t="s">
        <v>801</v>
      </c>
      <c r="I288" s="88" t="s">
        <v>170</v>
      </c>
      <c r="J288" s="88">
        <v>5</v>
      </c>
      <c r="K288" s="84" t="s">
        <v>888</v>
      </c>
      <c r="L288" s="83">
        <v>5</v>
      </c>
      <c r="M288" s="84" t="s">
        <v>891</v>
      </c>
      <c r="N288" s="90" t="s">
        <v>170</v>
      </c>
    </row>
    <row r="289" spans="1:14" ht="11.85" customHeight="1" x14ac:dyDescent="0.2">
      <c r="A289" s="75">
        <v>289</v>
      </c>
      <c r="B289" s="115">
        <v>11972</v>
      </c>
      <c r="C289" s="76" t="s">
        <v>390</v>
      </c>
      <c r="D289" s="87" t="s">
        <v>802</v>
      </c>
      <c r="H289" s="76" t="s">
        <v>803</v>
      </c>
      <c r="I289" s="76"/>
      <c r="J289" s="76">
        <v>4</v>
      </c>
      <c r="K289" s="76"/>
      <c r="L289" s="76"/>
      <c r="M289" s="76"/>
    </row>
    <row r="290" spans="1:14" ht="11.85" customHeight="1" x14ac:dyDescent="0.2">
      <c r="A290" s="75">
        <v>290</v>
      </c>
      <c r="B290" s="116">
        <v>5629</v>
      </c>
      <c r="D290" s="87" t="s">
        <v>804</v>
      </c>
      <c r="I290" s="88" t="s">
        <v>517</v>
      </c>
      <c r="J290" s="88">
        <v>5</v>
      </c>
      <c r="K290" s="84" t="s">
        <v>888</v>
      </c>
      <c r="L290" s="83">
        <v>5</v>
      </c>
      <c r="M290" s="84" t="s">
        <v>892</v>
      </c>
      <c r="N290" s="90" t="s">
        <v>517</v>
      </c>
    </row>
    <row r="291" spans="1:14" ht="11.85" customHeight="1" x14ac:dyDescent="0.2">
      <c r="A291" s="75">
        <v>291</v>
      </c>
      <c r="B291" s="116">
        <v>5635</v>
      </c>
      <c r="D291" s="87" t="s">
        <v>805</v>
      </c>
      <c r="I291" s="88" t="s">
        <v>795</v>
      </c>
      <c r="J291" s="88">
        <v>5</v>
      </c>
      <c r="K291" s="84" t="s">
        <v>888</v>
      </c>
      <c r="L291" s="83">
        <v>5</v>
      </c>
      <c r="M291" s="84" t="s">
        <v>892</v>
      </c>
      <c r="N291" s="90" t="s">
        <v>795</v>
      </c>
    </row>
    <row r="292" spans="1:14" ht="11.85" customHeight="1" x14ac:dyDescent="0.2">
      <c r="A292" s="75">
        <v>292</v>
      </c>
      <c r="B292" s="116">
        <v>5641</v>
      </c>
      <c r="D292" s="87" t="s">
        <v>806</v>
      </c>
      <c r="I292" s="88" t="s">
        <v>792</v>
      </c>
      <c r="J292" s="88">
        <v>5</v>
      </c>
      <c r="K292" s="84" t="s">
        <v>888</v>
      </c>
      <c r="L292" s="83">
        <v>5</v>
      </c>
      <c r="M292" s="84" t="s">
        <v>892</v>
      </c>
      <c r="N292" s="90" t="s">
        <v>792</v>
      </c>
    </row>
    <row r="293" spans="1:14" ht="11.85" customHeight="1" x14ac:dyDescent="0.2">
      <c r="A293" s="75">
        <v>293</v>
      </c>
      <c r="B293" s="116">
        <v>5658</v>
      </c>
      <c r="D293" s="87" t="s">
        <v>807</v>
      </c>
      <c r="I293" s="88" t="s">
        <v>170</v>
      </c>
      <c r="J293" s="88">
        <v>5</v>
      </c>
      <c r="K293" s="84" t="s">
        <v>888</v>
      </c>
      <c r="L293" s="83">
        <v>5</v>
      </c>
      <c r="M293" s="84" t="s">
        <v>892</v>
      </c>
      <c r="N293" s="90" t="s">
        <v>170</v>
      </c>
    </row>
    <row r="294" spans="1:14" ht="11.85" customHeight="1" x14ac:dyDescent="0.2">
      <c r="A294" s="75">
        <v>294</v>
      </c>
      <c r="B294" s="115">
        <v>11989</v>
      </c>
      <c r="C294" s="76" t="s">
        <v>390</v>
      </c>
      <c r="D294" s="87" t="s">
        <v>808</v>
      </c>
      <c r="H294" s="76" t="s">
        <v>809</v>
      </c>
      <c r="I294" s="76"/>
      <c r="J294" s="76">
        <v>4</v>
      </c>
      <c r="K294" s="76"/>
      <c r="L294" s="76"/>
      <c r="M294" s="76"/>
    </row>
    <row r="295" spans="1:14" ht="11.85" customHeight="1" x14ac:dyDescent="0.2">
      <c r="A295" s="75">
        <v>295</v>
      </c>
      <c r="B295" s="116">
        <v>10056</v>
      </c>
      <c r="D295" s="87" t="s">
        <v>810</v>
      </c>
      <c r="I295" s="88" t="s">
        <v>517</v>
      </c>
      <c r="J295" s="88">
        <v>5</v>
      </c>
      <c r="K295" s="84" t="s">
        <v>888</v>
      </c>
      <c r="L295" s="83">
        <v>5</v>
      </c>
      <c r="M295" s="84" t="s">
        <v>893</v>
      </c>
      <c r="N295" s="90" t="s">
        <v>517</v>
      </c>
    </row>
    <row r="296" spans="1:14" ht="11.85" customHeight="1" x14ac:dyDescent="0.2">
      <c r="A296" s="75">
        <v>296</v>
      </c>
      <c r="B296" s="116">
        <v>10062</v>
      </c>
      <c r="D296" s="87" t="s">
        <v>811</v>
      </c>
      <c r="I296" s="88" t="s">
        <v>795</v>
      </c>
      <c r="J296" s="88">
        <v>5</v>
      </c>
      <c r="K296" s="84" t="s">
        <v>888</v>
      </c>
      <c r="L296" s="83">
        <v>5</v>
      </c>
      <c r="M296" s="84" t="s">
        <v>893</v>
      </c>
      <c r="N296" s="90" t="s">
        <v>795</v>
      </c>
    </row>
    <row r="297" spans="1:14" ht="11.85" customHeight="1" x14ac:dyDescent="0.2">
      <c r="A297" s="75">
        <v>297</v>
      </c>
      <c r="B297" s="116">
        <v>10079</v>
      </c>
      <c r="D297" s="87" t="s">
        <v>812</v>
      </c>
      <c r="I297" s="88" t="s">
        <v>792</v>
      </c>
      <c r="J297" s="88">
        <v>5</v>
      </c>
      <c r="K297" s="84" t="s">
        <v>888</v>
      </c>
      <c r="L297" s="83">
        <v>5</v>
      </c>
      <c r="M297" s="84" t="s">
        <v>893</v>
      </c>
      <c r="N297" s="90" t="s">
        <v>792</v>
      </c>
    </row>
    <row r="298" spans="1:14" ht="11.85" customHeight="1" x14ac:dyDescent="0.2">
      <c r="A298" s="75">
        <v>298</v>
      </c>
      <c r="B298" s="116">
        <v>10085</v>
      </c>
      <c r="D298" s="87" t="s">
        <v>813</v>
      </c>
      <c r="I298" s="88" t="s">
        <v>170</v>
      </c>
      <c r="J298" s="88">
        <v>5</v>
      </c>
      <c r="K298" s="84" t="s">
        <v>888</v>
      </c>
      <c r="L298" s="83">
        <v>5</v>
      </c>
      <c r="M298" s="84" t="s">
        <v>893</v>
      </c>
      <c r="N298" s="90" t="s">
        <v>170</v>
      </c>
    </row>
    <row r="299" spans="1:14" ht="11.85" customHeight="1" x14ac:dyDescent="0.2">
      <c r="A299" s="75">
        <v>299</v>
      </c>
      <c r="B299" s="115">
        <v>11995</v>
      </c>
      <c r="C299" s="76" t="s">
        <v>390</v>
      </c>
      <c r="D299" s="87" t="s">
        <v>814</v>
      </c>
      <c r="H299" s="76" t="s">
        <v>815</v>
      </c>
      <c r="I299" s="76"/>
      <c r="J299" s="76">
        <v>4</v>
      </c>
      <c r="K299" s="76"/>
      <c r="L299" s="76"/>
      <c r="M299" s="76"/>
    </row>
    <row r="300" spans="1:14" ht="11.85" customHeight="1" x14ac:dyDescent="0.2">
      <c r="A300" s="75">
        <v>300</v>
      </c>
      <c r="B300" s="116">
        <v>10100</v>
      </c>
      <c r="D300" s="87" t="s">
        <v>816</v>
      </c>
      <c r="I300" s="88" t="s">
        <v>517</v>
      </c>
      <c r="J300" s="88">
        <v>5</v>
      </c>
      <c r="K300" s="84" t="s">
        <v>888</v>
      </c>
      <c r="L300" s="83">
        <v>5</v>
      </c>
      <c r="M300" s="84" t="s">
        <v>894</v>
      </c>
      <c r="N300" s="90" t="s">
        <v>517</v>
      </c>
    </row>
    <row r="301" spans="1:14" ht="11.85" customHeight="1" x14ac:dyDescent="0.2">
      <c r="A301" s="75">
        <v>301</v>
      </c>
      <c r="B301" s="116">
        <v>10116</v>
      </c>
      <c r="D301" s="87" t="s">
        <v>817</v>
      </c>
      <c r="I301" s="88" t="s">
        <v>795</v>
      </c>
      <c r="J301" s="88">
        <v>5</v>
      </c>
      <c r="K301" s="84" t="s">
        <v>888</v>
      </c>
      <c r="L301" s="83">
        <v>5</v>
      </c>
      <c r="M301" s="84" t="s">
        <v>894</v>
      </c>
      <c r="N301" s="90" t="s">
        <v>795</v>
      </c>
    </row>
    <row r="302" spans="1:14" ht="11.85" customHeight="1" x14ac:dyDescent="0.2">
      <c r="A302" s="75">
        <v>302</v>
      </c>
      <c r="B302" s="116">
        <v>10122</v>
      </c>
      <c r="D302" s="87" t="s">
        <v>818</v>
      </c>
      <c r="I302" s="88" t="s">
        <v>792</v>
      </c>
      <c r="J302" s="88">
        <v>5</v>
      </c>
      <c r="K302" s="84" t="s">
        <v>888</v>
      </c>
      <c r="L302" s="83">
        <v>5</v>
      </c>
      <c r="M302" s="84" t="s">
        <v>894</v>
      </c>
      <c r="N302" s="90" t="s">
        <v>792</v>
      </c>
    </row>
    <row r="303" spans="1:14" ht="11.85" customHeight="1" x14ac:dyDescent="0.2">
      <c r="A303" s="75">
        <v>303</v>
      </c>
      <c r="B303" s="116">
        <v>10139</v>
      </c>
      <c r="D303" s="87" t="s">
        <v>819</v>
      </c>
      <c r="I303" s="88" t="s">
        <v>170</v>
      </c>
      <c r="J303" s="88">
        <v>5</v>
      </c>
      <c r="K303" s="84" t="s">
        <v>888</v>
      </c>
      <c r="L303" s="83">
        <v>5</v>
      </c>
      <c r="M303" s="84" t="s">
        <v>894</v>
      </c>
      <c r="N303" s="90" t="s">
        <v>170</v>
      </c>
    </row>
    <row r="304" spans="1:14" ht="11.85" customHeight="1" x14ac:dyDescent="0.2">
      <c r="A304" s="75">
        <v>304</v>
      </c>
      <c r="B304" s="115">
        <v>12003</v>
      </c>
      <c r="C304" s="76" t="s">
        <v>390</v>
      </c>
      <c r="D304" s="87" t="s">
        <v>820</v>
      </c>
      <c r="H304" s="76" t="s">
        <v>821</v>
      </c>
      <c r="I304" s="76"/>
      <c r="J304" s="76">
        <v>4</v>
      </c>
      <c r="K304" s="76"/>
      <c r="L304" s="76"/>
      <c r="M304" s="76"/>
    </row>
    <row r="305" spans="1:14" ht="11.85" customHeight="1" x14ac:dyDescent="0.2">
      <c r="A305" s="75">
        <v>305</v>
      </c>
      <c r="B305" s="116">
        <v>10151</v>
      </c>
      <c r="D305" s="87" t="s">
        <v>822</v>
      </c>
      <c r="I305" s="88" t="s">
        <v>517</v>
      </c>
      <c r="J305" s="88">
        <v>5</v>
      </c>
      <c r="K305" s="84" t="s">
        <v>888</v>
      </c>
      <c r="L305" s="83">
        <v>5</v>
      </c>
      <c r="M305" s="84" t="s">
        <v>895</v>
      </c>
      <c r="N305" s="90" t="s">
        <v>517</v>
      </c>
    </row>
    <row r="306" spans="1:14" ht="11.85" customHeight="1" x14ac:dyDescent="0.2">
      <c r="A306" s="75">
        <v>306</v>
      </c>
      <c r="B306" s="116">
        <v>10168</v>
      </c>
      <c r="D306" s="87" t="s">
        <v>823</v>
      </c>
      <c r="I306" s="88" t="s">
        <v>795</v>
      </c>
      <c r="J306" s="88">
        <v>5</v>
      </c>
      <c r="K306" s="84" t="s">
        <v>888</v>
      </c>
      <c r="L306" s="83">
        <v>5</v>
      </c>
      <c r="M306" s="84" t="s">
        <v>895</v>
      </c>
      <c r="N306" s="90" t="s">
        <v>795</v>
      </c>
    </row>
    <row r="307" spans="1:14" ht="11.85" customHeight="1" x14ac:dyDescent="0.2">
      <c r="A307" s="75">
        <v>307</v>
      </c>
      <c r="B307" s="116">
        <v>10174</v>
      </c>
      <c r="D307" s="87" t="s">
        <v>824</v>
      </c>
      <c r="I307" s="88" t="s">
        <v>792</v>
      </c>
      <c r="J307" s="88">
        <v>5</v>
      </c>
      <c r="K307" s="84" t="s">
        <v>888</v>
      </c>
      <c r="L307" s="83">
        <v>5</v>
      </c>
      <c r="M307" s="84" t="s">
        <v>895</v>
      </c>
      <c r="N307" s="90" t="s">
        <v>792</v>
      </c>
    </row>
    <row r="308" spans="1:14" ht="11.85" customHeight="1" x14ac:dyDescent="0.2">
      <c r="A308" s="75">
        <v>308</v>
      </c>
      <c r="B308" s="116">
        <v>10181</v>
      </c>
      <c r="D308" s="87" t="s">
        <v>825</v>
      </c>
      <c r="I308" s="88" t="s">
        <v>170</v>
      </c>
      <c r="J308" s="88">
        <v>5</v>
      </c>
      <c r="K308" s="84" t="s">
        <v>888</v>
      </c>
      <c r="L308" s="83">
        <v>5</v>
      </c>
      <c r="M308" s="84" t="s">
        <v>895</v>
      </c>
      <c r="N308" s="90" t="s">
        <v>170</v>
      </c>
    </row>
    <row r="309" spans="1:14" ht="11.85" customHeight="1" x14ac:dyDescent="0.2">
      <c r="A309" s="75">
        <v>309</v>
      </c>
      <c r="B309" s="115">
        <v>12010</v>
      </c>
      <c r="C309" s="76" t="s">
        <v>390</v>
      </c>
      <c r="D309" s="87" t="s">
        <v>826</v>
      </c>
      <c r="H309" s="76" t="s">
        <v>827</v>
      </c>
      <c r="I309" s="76"/>
      <c r="J309" s="76">
        <v>4</v>
      </c>
      <c r="K309" s="76"/>
      <c r="L309" s="76"/>
      <c r="M309" s="76"/>
    </row>
    <row r="310" spans="1:14" ht="11.85" customHeight="1" x14ac:dyDescent="0.2">
      <c r="A310" s="75">
        <v>310</v>
      </c>
      <c r="B310" s="116">
        <v>10205</v>
      </c>
      <c r="D310" s="87" t="s">
        <v>828</v>
      </c>
      <c r="I310" s="88" t="s">
        <v>517</v>
      </c>
      <c r="J310" s="88">
        <v>5</v>
      </c>
      <c r="K310" s="84" t="s">
        <v>888</v>
      </c>
      <c r="L310" s="83">
        <v>5</v>
      </c>
      <c r="M310" s="84" t="s">
        <v>896</v>
      </c>
      <c r="N310" s="90" t="s">
        <v>517</v>
      </c>
    </row>
    <row r="311" spans="1:14" ht="11.85" customHeight="1" x14ac:dyDescent="0.2">
      <c r="A311" s="75">
        <v>311</v>
      </c>
      <c r="B311" s="116">
        <v>10211</v>
      </c>
      <c r="D311" s="87" t="s">
        <v>829</v>
      </c>
      <c r="I311" s="88" t="s">
        <v>795</v>
      </c>
      <c r="J311" s="88">
        <v>5</v>
      </c>
      <c r="K311" s="84" t="s">
        <v>888</v>
      </c>
      <c r="L311" s="83">
        <v>5</v>
      </c>
      <c r="M311" s="84" t="s">
        <v>896</v>
      </c>
      <c r="N311" s="90" t="s">
        <v>795</v>
      </c>
    </row>
    <row r="312" spans="1:14" ht="11.85" customHeight="1" x14ac:dyDescent="0.2">
      <c r="A312" s="75">
        <v>312</v>
      </c>
      <c r="B312" s="116">
        <v>10228</v>
      </c>
      <c r="D312" s="87" t="s">
        <v>830</v>
      </c>
      <c r="I312" s="88" t="s">
        <v>792</v>
      </c>
      <c r="J312" s="88">
        <v>5</v>
      </c>
      <c r="K312" s="84" t="s">
        <v>888</v>
      </c>
      <c r="L312" s="83">
        <v>5</v>
      </c>
      <c r="M312" s="84" t="s">
        <v>896</v>
      </c>
      <c r="N312" s="90" t="s">
        <v>792</v>
      </c>
    </row>
    <row r="313" spans="1:14" ht="11.85" customHeight="1" x14ac:dyDescent="0.2">
      <c r="A313" s="75">
        <v>313</v>
      </c>
      <c r="B313" s="116">
        <v>10234</v>
      </c>
      <c r="D313" s="87" t="s">
        <v>831</v>
      </c>
      <c r="I313" s="88" t="s">
        <v>170</v>
      </c>
      <c r="J313" s="88">
        <v>5</v>
      </c>
      <c r="K313" s="84" t="s">
        <v>888</v>
      </c>
      <c r="L313" s="83">
        <v>5</v>
      </c>
      <c r="M313" s="84" t="s">
        <v>896</v>
      </c>
      <c r="N313" s="90" t="s">
        <v>170</v>
      </c>
    </row>
    <row r="314" spans="1:14" ht="11.85" customHeight="1" x14ac:dyDescent="0.2">
      <c r="A314" s="75">
        <v>314</v>
      </c>
      <c r="B314" s="115">
        <v>12026</v>
      </c>
      <c r="C314" s="76" t="s">
        <v>390</v>
      </c>
      <c r="D314" s="87" t="s">
        <v>832</v>
      </c>
      <c r="H314" s="76" t="s">
        <v>833</v>
      </c>
      <c r="I314" s="76"/>
      <c r="J314" s="76">
        <v>4</v>
      </c>
      <c r="K314" s="76"/>
      <c r="L314" s="76"/>
      <c r="M314" s="76"/>
    </row>
    <row r="315" spans="1:14" ht="11.85" customHeight="1" x14ac:dyDescent="0.2">
      <c r="A315" s="75">
        <v>315</v>
      </c>
      <c r="B315" s="116">
        <v>11788</v>
      </c>
      <c r="D315" s="87" t="s">
        <v>834</v>
      </c>
      <c r="I315" s="88" t="s">
        <v>517</v>
      </c>
      <c r="J315" s="88">
        <v>5</v>
      </c>
      <c r="K315" s="84" t="s">
        <v>888</v>
      </c>
      <c r="L315" s="83">
        <v>5</v>
      </c>
      <c r="M315" s="84" t="s">
        <v>897</v>
      </c>
      <c r="N315" s="90" t="s">
        <v>517</v>
      </c>
    </row>
    <row r="316" spans="1:14" ht="11.85" customHeight="1" x14ac:dyDescent="0.2">
      <c r="A316" s="75">
        <v>316</v>
      </c>
      <c r="B316" s="116">
        <v>11802</v>
      </c>
      <c r="D316" s="87" t="s">
        <v>835</v>
      </c>
      <c r="I316" s="88" t="s">
        <v>795</v>
      </c>
      <c r="J316" s="88">
        <v>5</v>
      </c>
      <c r="K316" s="84" t="s">
        <v>888</v>
      </c>
      <c r="L316" s="83">
        <v>5</v>
      </c>
      <c r="M316" s="84" t="s">
        <v>897</v>
      </c>
      <c r="N316" s="90" t="s">
        <v>795</v>
      </c>
    </row>
    <row r="317" spans="1:14" ht="11.85" customHeight="1" x14ac:dyDescent="0.2">
      <c r="A317" s="75">
        <v>317</v>
      </c>
      <c r="B317" s="116">
        <v>11825</v>
      </c>
      <c r="D317" s="87" t="s">
        <v>836</v>
      </c>
      <c r="I317" s="88" t="s">
        <v>792</v>
      </c>
      <c r="J317" s="88">
        <v>5</v>
      </c>
      <c r="K317" s="84" t="s">
        <v>888</v>
      </c>
      <c r="L317" s="83">
        <v>5</v>
      </c>
      <c r="M317" s="84" t="s">
        <v>897</v>
      </c>
      <c r="N317" s="90" t="s">
        <v>792</v>
      </c>
    </row>
    <row r="318" spans="1:14" ht="11.85" customHeight="1" x14ac:dyDescent="0.2">
      <c r="A318" s="75">
        <v>318</v>
      </c>
      <c r="B318" s="116">
        <v>11848</v>
      </c>
      <c r="D318" s="87" t="s">
        <v>837</v>
      </c>
      <c r="I318" s="88" t="s">
        <v>170</v>
      </c>
      <c r="J318" s="88">
        <v>5</v>
      </c>
      <c r="K318" s="84" t="s">
        <v>888</v>
      </c>
      <c r="L318" s="83">
        <v>5</v>
      </c>
      <c r="M318" s="84" t="s">
        <v>897</v>
      </c>
      <c r="N318" s="90" t="s">
        <v>170</v>
      </c>
    </row>
    <row r="319" spans="1:14" ht="11.85" customHeight="1" x14ac:dyDescent="0.2">
      <c r="A319" s="75">
        <v>319</v>
      </c>
      <c r="B319" s="115">
        <v>12032</v>
      </c>
      <c r="C319" s="76" t="s">
        <v>390</v>
      </c>
      <c r="D319" s="87" t="s">
        <v>838</v>
      </c>
      <c r="H319" s="76" t="s">
        <v>839</v>
      </c>
      <c r="I319" s="76"/>
      <c r="J319" s="76">
        <v>4</v>
      </c>
      <c r="K319" s="76"/>
      <c r="L319" s="76"/>
      <c r="M319" s="76"/>
    </row>
    <row r="320" spans="1:14" ht="11.85" customHeight="1" x14ac:dyDescent="0.2">
      <c r="A320" s="75">
        <v>320</v>
      </c>
      <c r="B320" s="116">
        <v>11794</v>
      </c>
      <c r="D320" s="87" t="s">
        <v>840</v>
      </c>
      <c r="I320" s="88" t="s">
        <v>517</v>
      </c>
      <c r="J320" s="88">
        <v>5</v>
      </c>
      <c r="K320" s="84" t="s">
        <v>888</v>
      </c>
      <c r="L320" s="83">
        <v>5</v>
      </c>
      <c r="M320" s="84" t="s">
        <v>898</v>
      </c>
      <c r="N320" s="90" t="s">
        <v>517</v>
      </c>
    </row>
    <row r="321" spans="1:14" ht="11.85" customHeight="1" x14ac:dyDescent="0.2">
      <c r="A321" s="75">
        <v>321</v>
      </c>
      <c r="B321" s="116">
        <v>11819</v>
      </c>
      <c r="D321" s="87" t="s">
        <v>841</v>
      </c>
      <c r="I321" s="88" t="s">
        <v>795</v>
      </c>
      <c r="J321" s="88">
        <v>5</v>
      </c>
      <c r="K321" s="84" t="s">
        <v>888</v>
      </c>
      <c r="L321" s="83">
        <v>5</v>
      </c>
      <c r="M321" s="84" t="s">
        <v>898</v>
      </c>
      <c r="N321" s="90" t="s">
        <v>795</v>
      </c>
    </row>
    <row r="322" spans="1:14" ht="11.85" customHeight="1" x14ac:dyDescent="0.2">
      <c r="A322" s="75">
        <v>322</v>
      </c>
      <c r="B322" s="116">
        <v>11831</v>
      </c>
      <c r="D322" s="87" t="s">
        <v>842</v>
      </c>
      <c r="I322" s="88" t="s">
        <v>792</v>
      </c>
      <c r="J322" s="88">
        <v>5</v>
      </c>
      <c r="K322" s="84" t="s">
        <v>888</v>
      </c>
      <c r="L322" s="83">
        <v>5</v>
      </c>
      <c r="M322" s="84" t="s">
        <v>898</v>
      </c>
      <c r="N322" s="90" t="s">
        <v>792</v>
      </c>
    </row>
    <row r="323" spans="1:14" ht="11.85" customHeight="1" x14ac:dyDescent="0.2">
      <c r="A323" s="75">
        <v>323</v>
      </c>
      <c r="B323" s="116">
        <v>11854</v>
      </c>
      <c r="D323" s="87" t="s">
        <v>843</v>
      </c>
      <c r="I323" s="88" t="s">
        <v>170</v>
      </c>
      <c r="J323" s="88">
        <v>5</v>
      </c>
      <c r="K323" s="84" t="s">
        <v>888</v>
      </c>
      <c r="L323" s="83">
        <v>5</v>
      </c>
      <c r="M323" s="84" t="s">
        <v>898</v>
      </c>
      <c r="N323" s="90" t="s">
        <v>170</v>
      </c>
    </row>
    <row r="324" spans="1:14" ht="11.85" customHeight="1" x14ac:dyDescent="0.2">
      <c r="A324" s="75">
        <v>324</v>
      </c>
      <c r="B324" s="115">
        <v>12049</v>
      </c>
      <c r="C324" s="76" t="s">
        <v>390</v>
      </c>
      <c r="D324" s="87" t="s">
        <v>844</v>
      </c>
      <c r="H324" s="76" t="s">
        <v>845</v>
      </c>
      <c r="I324" s="76"/>
      <c r="J324" s="76">
        <v>4</v>
      </c>
      <c r="K324" s="76"/>
      <c r="L324" s="76"/>
      <c r="M324" s="76"/>
    </row>
    <row r="325" spans="1:14" ht="11.85" customHeight="1" x14ac:dyDescent="0.2">
      <c r="A325" s="75">
        <v>325</v>
      </c>
      <c r="B325" s="116">
        <v>12470</v>
      </c>
      <c r="D325" s="87" t="s">
        <v>846</v>
      </c>
      <c r="I325" s="88" t="s">
        <v>517</v>
      </c>
      <c r="J325" s="88">
        <v>5</v>
      </c>
      <c r="K325" s="84" t="s">
        <v>888</v>
      </c>
      <c r="L325" s="83">
        <v>5</v>
      </c>
      <c r="M325" s="84" t="s">
        <v>899</v>
      </c>
      <c r="N325" s="90" t="s">
        <v>517</v>
      </c>
    </row>
    <row r="326" spans="1:14" ht="11.85" customHeight="1" x14ac:dyDescent="0.2">
      <c r="A326" s="75">
        <v>326</v>
      </c>
      <c r="B326" s="116">
        <v>12486</v>
      </c>
      <c r="D326" s="87" t="s">
        <v>847</v>
      </c>
      <c r="I326" s="88" t="s">
        <v>795</v>
      </c>
      <c r="J326" s="88">
        <v>5</v>
      </c>
      <c r="K326" s="84" t="s">
        <v>888</v>
      </c>
      <c r="L326" s="83">
        <v>5</v>
      </c>
      <c r="M326" s="84" t="s">
        <v>899</v>
      </c>
      <c r="N326" s="90" t="s">
        <v>795</v>
      </c>
    </row>
    <row r="327" spans="1:14" ht="11.85" customHeight="1" x14ac:dyDescent="0.2">
      <c r="A327" s="75">
        <v>327</v>
      </c>
      <c r="B327" s="116">
        <v>12492</v>
      </c>
      <c r="D327" s="87" t="s">
        <v>848</v>
      </c>
      <c r="I327" s="88" t="s">
        <v>792</v>
      </c>
      <c r="J327" s="88">
        <v>5</v>
      </c>
      <c r="K327" s="84" t="s">
        <v>888</v>
      </c>
      <c r="L327" s="83">
        <v>5</v>
      </c>
      <c r="M327" s="84" t="s">
        <v>899</v>
      </c>
      <c r="N327" s="90" t="s">
        <v>792</v>
      </c>
    </row>
    <row r="328" spans="1:14" ht="11.85" customHeight="1" x14ac:dyDescent="0.2">
      <c r="A328" s="75">
        <v>328</v>
      </c>
      <c r="B328" s="116">
        <v>12501</v>
      </c>
      <c r="D328" s="87" t="s">
        <v>849</v>
      </c>
      <c r="I328" s="88" t="s">
        <v>170</v>
      </c>
      <c r="J328" s="88">
        <v>5</v>
      </c>
      <c r="K328" s="84" t="s">
        <v>888</v>
      </c>
      <c r="L328" s="83">
        <v>5</v>
      </c>
      <c r="M328" s="84" t="s">
        <v>899</v>
      </c>
      <c r="N328" s="90" t="s">
        <v>170</v>
      </c>
    </row>
    <row r="329" spans="1:14" ht="11.85" customHeight="1" x14ac:dyDescent="0.2">
      <c r="A329" s="75">
        <v>329</v>
      </c>
      <c r="B329" s="115">
        <v>11937</v>
      </c>
      <c r="C329" s="76" t="s">
        <v>390</v>
      </c>
      <c r="D329" s="87" t="s">
        <v>850</v>
      </c>
      <c r="G329" s="76" t="s">
        <v>851</v>
      </c>
      <c r="H329" s="76"/>
      <c r="I329" s="76"/>
      <c r="J329" s="76">
        <v>3</v>
      </c>
      <c r="K329" s="76"/>
      <c r="L329" s="76"/>
      <c r="M329" s="76"/>
    </row>
    <row r="330" spans="1:14" ht="11.85" customHeight="1" x14ac:dyDescent="0.2">
      <c r="A330" s="75">
        <v>330</v>
      </c>
      <c r="B330" s="115">
        <v>11943</v>
      </c>
      <c r="C330" s="76" t="s">
        <v>390</v>
      </c>
      <c r="D330" s="87" t="s">
        <v>185</v>
      </c>
      <c r="H330" s="76" t="s">
        <v>852</v>
      </c>
      <c r="I330" s="76"/>
      <c r="J330" s="76">
        <v>4</v>
      </c>
      <c r="K330" s="76"/>
      <c r="L330" s="76"/>
      <c r="M330" s="76"/>
    </row>
    <row r="331" spans="1:14" ht="11.85" customHeight="1" x14ac:dyDescent="0.2">
      <c r="A331" s="75">
        <v>331</v>
      </c>
      <c r="B331" s="116">
        <v>5279</v>
      </c>
      <c r="D331" s="87" t="s">
        <v>186</v>
      </c>
      <c r="I331" s="88" t="s">
        <v>695</v>
      </c>
      <c r="J331" s="88">
        <v>5</v>
      </c>
      <c r="K331" s="84" t="s">
        <v>367</v>
      </c>
      <c r="L331" s="83">
        <v>7</v>
      </c>
      <c r="M331" s="84" t="s">
        <v>900</v>
      </c>
      <c r="N331" s="90" t="s">
        <v>695</v>
      </c>
    </row>
    <row r="332" spans="1:14" ht="11.85" customHeight="1" x14ac:dyDescent="0.2">
      <c r="A332" s="75">
        <v>332</v>
      </c>
      <c r="B332" s="116">
        <v>5291</v>
      </c>
      <c r="D332" s="87" t="s">
        <v>188</v>
      </c>
      <c r="I332" s="88" t="s">
        <v>853</v>
      </c>
      <c r="J332" s="88">
        <v>5</v>
      </c>
      <c r="K332" s="84" t="s">
        <v>367</v>
      </c>
      <c r="L332" s="83">
        <v>7</v>
      </c>
      <c r="M332" s="84" t="s">
        <v>900</v>
      </c>
      <c r="N332" s="90" t="s">
        <v>853</v>
      </c>
    </row>
    <row r="333" spans="1:14" ht="11.85" customHeight="1" x14ac:dyDescent="0.2">
      <c r="A333" s="75">
        <v>333</v>
      </c>
      <c r="B333" s="116">
        <v>7166</v>
      </c>
      <c r="D333" s="87" t="s">
        <v>190</v>
      </c>
      <c r="I333" s="88" t="s">
        <v>854</v>
      </c>
      <c r="J333" s="88">
        <v>5</v>
      </c>
      <c r="K333" s="84" t="s">
        <v>367</v>
      </c>
      <c r="L333" s="83">
        <v>7</v>
      </c>
      <c r="M333" s="84" t="s">
        <v>900</v>
      </c>
      <c r="N333" s="90" t="s">
        <v>854</v>
      </c>
    </row>
    <row r="334" spans="1:14" ht="11.85" customHeight="1" x14ac:dyDescent="0.2">
      <c r="A334" s="75">
        <v>334</v>
      </c>
      <c r="B334" s="116">
        <v>7982</v>
      </c>
      <c r="D334" s="87" t="s">
        <v>192</v>
      </c>
      <c r="I334" s="88" t="s">
        <v>855</v>
      </c>
      <c r="J334" s="88">
        <v>5</v>
      </c>
      <c r="K334" s="84" t="s">
        <v>367</v>
      </c>
      <c r="L334" s="83">
        <v>7</v>
      </c>
      <c r="M334" s="84" t="s">
        <v>900</v>
      </c>
      <c r="N334" s="90" t="s">
        <v>917</v>
      </c>
    </row>
    <row r="335" spans="1:14" ht="11.85" customHeight="1" x14ac:dyDescent="0.2">
      <c r="A335" s="75">
        <v>335</v>
      </c>
      <c r="B335" s="116">
        <v>7983</v>
      </c>
      <c r="D335" s="87" t="s">
        <v>282</v>
      </c>
      <c r="I335" s="88" t="s">
        <v>856</v>
      </c>
      <c r="J335" s="88">
        <v>5</v>
      </c>
      <c r="K335" s="84" t="s">
        <v>367</v>
      </c>
      <c r="L335" s="83">
        <v>7</v>
      </c>
      <c r="M335" s="84" t="s">
        <v>900</v>
      </c>
      <c r="N335" s="90" t="s">
        <v>916</v>
      </c>
    </row>
    <row r="336" spans="1:14" ht="11.85" customHeight="1" x14ac:dyDescent="0.2">
      <c r="A336" s="75">
        <v>336</v>
      </c>
      <c r="B336" s="116">
        <v>7984</v>
      </c>
      <c r="D336" s="87" t="s">
        <v>857</v>
      </c>
      <c r="I336" s="88" t="s">
        <v>858</v>
      </c>
      <c r="J336" s="88">
        <v>5</v>
      </c>
      <c r="K336" s="84" t="s">
        <v>367</v>
      </c>
      <c r="L336" s="83">
        <v>7</v>
      </c>
      <c r="M336" s="84" t="s">
        <v>900</v>
      </c>
      <c r="N336" s="90" t="s">
        <v>858</v>
      </c>
    </row>
    <row r="337" spans="1:14" ht="11.85" customHeight="1" x14ac:dyDescent="0.2">
      <c r="A337" s="75">
        <v>337</v>
      </c>
      <c r="B337" s="115">
        <v>11950</v>
      </c>
      <c r="C337" s="76" t="s">
        <v>390</v>
      </c>
      <c r="D337" s="87" t="s">
        <v>859</v>
      </c>
      <c r="H337" s="76" t="s">
        <v>860</v>
      </c>
      <c r="I337" s="76"/>
      <c r="J337" s="76">
        <v>4</v>
      </c>
      <c r="K337" s="76"/>
      <c r="L337" s="76"/>
      <c r="M337" s="76"/>
    </row>
    <row r="338" spans="1:14" ht="11.85" customHeight="1" x14ac:dyDescent="0.2">
      <c r="A338" s="75">
        <v>338</v>
      </c>
      <c r="B338" s="116">
        <v>5316</v>
      </c>
      <c r="D338" s="87" t="s">
        <v>861</v>
      </c>
      <c r="I338" s="88" t="s">
        <v>862</v>
      </c>
      <c r="J338" s="88">
        <v>5</v>
      </c>
      <c r="K338" s="84" t="s">
        <v>367</v>
      </c>
      <c r="L338" s="83">
        <v>7</v>
      </c>
      <c r="M338" s="84" t="s">
        <v>900</v>
      </c>
      <c r="N338" s="90" t="s">
        <v>862</v>
      </c>
    </row>
    <row r="339" spans="1:14" ht="11.85" customHeight="1" x14ac:dyDescent="0.2">
      <c r="A339" s="75">
        <v>339</v>
      </c>
      <c r="B339" s="116">
        <v>5322</v>
      </c>
      <c r="D339" s="87" t="s">
        <v>863</v>
      </c>
      <c r="I339" s="88" t="s">
        <v>864</v>
      </c>
      <c r="J339" s="88">
        <v>5</v>
      </c>
      <c r="K339" s="84" t="s">
        <v>367</v>
      </c>
      <c r="L339" s="83">
        <v>7</v>
      </c>
      <c r="M339" s="84" t="s">
        <v>900</v>
      </c>
      <c r="N339" s="90" t="s">
        <v>864</v>
      </c>
    </row>
    <row r="340" spans="1:14" ht="11.85" customHeight="1" x14ac:dyDescent="0.2">
      <c r="A340" s="75">
        <v>340</v>
      </c>
      <c r="B340" s="116">
        <v>5339</v>
      </c>
      <c r="D340" s="87" t="s">
        <v>865</v>
      </c>
      <c r="I340" s="88" t="s">
        <v>866</v>
      </c>
      <c r="J340" s="88">
        <v>5</v>
      </c>
      <c r="K340" s="84" t="s">
        <v>367</v>
      </c>
      <c r="L340" s="83">
        <v>7</v>
      </c>
      <c r="M340" s="84" t="s">
        <v>900</v>
      </c>
      <c r="N340" s="90" t="s">
        <v>866</v>
      </c>
    </row>
    <row r="341" spans="1:14" ht="11.85" customHeight="1" x14ac:dyDescent="0.2">
      <c r="A341" s="75">
        <v>341</v>
      </c>
      <c r="B341" s="116">
        <v>5345</v>
      </c>
      <c r="D341" s="87" t="s">
        <v>867</v>
      </c>
      <c r="I341" s="88" t="s">
        <v>868</v>
      </c>
      <c r="J341" s="88">
        <v>5</v>
      </c>
      <c r="K341" s="84" t="s">
        <v>367</v>
      </c>
      <c r="L341" s="83">
        <v>7</v>
      </c>
      <c r="M341" s="84" t="s">
        <v>900</v>
      </c>
      <c r="N341" s="90" t="s">
        <v>691</v>
      </c>
    </row>
    <row r="342" spans="1:14" ht="11.85" customHeight="1" x14ac:dyDescent="0.2">
      <c r="A342" s="75">
        <v>342</v>
      </c>
      <c r="B342" s="116">
        <v>7806</v>
      </c>
      <c r="D342" s="87" t="s">
        <v>869</v>
      </c>
      <c r="I342" s="88" t="s">
        <v>870</v>
      </c>
      <c r="J342" s="88">
        <v>5</v>
      </c>
      <c r="K342" s="84" t="s">
        <v>367</v>
      </c>
      <c r="L342" s="83">
        <v>7</v>
      </c>
      <c r="M342" s="84" t="s">
        <v>900</v>
      </c>
      <c r="N342" s="90" t="s">
        <v>866</v>
      </c>
    </row>
    <row r="343" spans="1:14" ht="11.85" customHeight="1" x14ac:dyDescent="0.2">
      <c r="A343" s="75">
        <v>343</v>
      </c>
      <c r="B343" s="116">
        <v>5351</v>
      </c>
      <c r="D343" s="87" t="s">
        <v>871</v>
      </c>
      <c r="I343" s="88" t="s">
        <v>872</v>
      </c>
      <c r="J343" s="88">
        <v>5</v>
      </c>
      <c r="K343" s="84" t="s">
        <v>367</v>
      </c>
      <c r="L343" s="83">
        <v>7</v>
      </c>
      <c r="M343" s="84" t="s">
        <v>900</v>
      </c>
      <c r="N343" s="90" t="s">
        <v>872</v>
      </c>
    </row>
    <row r="344" spans="1:14" ht="11.85" customHeight="1" x14ac:dyDescent="0.2">
      <c r="A344" s="75">
        <v>344</v>
      </c>
      <c r="B344" s="115">
        <v>4765</v>
      </c>
      <c r="C344" s="76" t="s">
        <v>390</v>
      </c>
      <c r="D344" s="87" t="s">
        <v>376</v>
      </c>
      <c r="F344" s="76" t="s">
        <v>873</v>
      </c>
      <c r="G344" s="76"/>
      <c r="H344" s="76"/>
      <c r="I344" s="76"/>
      <c r="J344" s="76">
        <v>2</v>
      </c>
      <c r="K344" s="76"/>
      <c r="L344" s="76"/>
      <c r="M344" s="76"/>
    </row>
    <row r="345" spans="1:14" ht="11.85" customHeight="1" x14ac:dyDescent="0.2">
      <c r="A345" s="75">
        <v>345</v>
      </c>
      <c r="B345" s="115">
        <v>5368</v>
      </c>
      <c r="C345" s="76" t="s">
        <v>390</v>
      </c>
      <c r="D345" s="87" t="s">
        <v>874</v>
      </c>
      <c r="G345" s="76" t="s">
        <v>875</v>
      </c>
      <c r="H345" s="76"/>
      <c r="I345" s="76"/>
      <c r="J345" s="76">
        <v>3</v>
      </c>
      <c r="K345" s="76"/>
      <c r="L345" s="76"/>
      <c r="M345" s="76"/>
    </row>
    <row r="346" spans="1:14" ht="11.85" customHeight="1" x14ac:dyDescent="0.2">
      <c r="A346" s="75">
        <v>346</v>
      </c>
      <c r="B346" s="115">
        <v>5397</v>
      </c>
      <c r="C346" s="76" t="s">
        <v>390</v>
      </c>
      <c r="D346" s="87" t="s">
        <v>193</v>
      </c>
      <c r="H346" s="76" t="s">
        <v>875</v>
      </c>
      <c r="I346" s="76"/>
      <c r="J346" s="76">
        <v>4</v>
      </c>
      <c r="K346" s="76"/>
      <c r="L346" s="76"/>
      <c r="M346" s="76"/>
    </row>
    <row r="347" spans="1:14" ht="11.85" customHeight="1" x14ac:dyDescent="0.2">
      <c r="A347" s="75">
        <v>347</v>
      </c>
      <c r="B347" s="116">
        <v>5405</v>
      </c>
      <c r="D347" s="87" t="s">
        <v>64</v>
      </c>
      <c r="I347" s="88" t="s">
        <v>876</v>
      </c>
      <c r="J347" s="88">
        <v>5</v>
      </c>
      <c r="K347" s="84" t="s">
        <v>233</v>
      </c>
      <c r="L347" s="83">
        <v>3</v>
      </c>
      <c r="M347" s="84" t="s">
        <v>901</v>
      </c>
      <c r="N347" s="90" t="s">
        <v>876</v>
      </c>
    </row>
    <row r="348" spans="1:14" ht="11.85" customHeight="1" x14ac:dyDescent="0.2">
      <c r="A348" s="75">
        <v>348</v>
      </c>
      <c r="B348" s="115">
        <v>5374</v>
      </c>
      <c r="C348" s="76" t="s">
        <v>390</v>
      </c>
      <c r="D348" s="87" t="s">
        <v>877</v>
      </c>
      <c r="G348" s="76" t="s">
        <v>878</v>
      </c>
      <c r="H348" s="76"/>
      <c r="I348" s="76"/>
      <c r="J348" s="76">
        <v>3</v>
      </c>
      <c r="K348" s="76"/>
      <c r="L348" s="76"/>
      <c r="M348" s="76"/>
    </row>
    <row r="349" spans="1:14" ht="11.85" customHeight="1" x14ac:dyDescent="0.2">
      <c r="A349" s="75">
        <v>349</v>
      </c>
      <c r="B349" s="115">
        <v>5381</v>
      </c>
      <c r="C349" s="76" t="s">
        <v>390</v>
      </c>
      <c r="D349" s="87" t="s">
        <v>879</v>
      </c>
      <c r="H349" s="76" t="s">
        <v>878</v>
      </c>
      <c r="I349" s="76"/>
      <c r="J349" s="76">
        <v>4</v>
      </c>
      <c r="K349" s="76"/>
      <c r="L349" s="76"/>
      <c r="M349" s="76"/>
    </row>
    <row r="350" spans="1:14" ht="11.85" customHeight="1" x14ac:dyDescent="0.2">
      <c r="A350" s="75">
        <v>350</v>
      </c>
      <c r="B350" s="116">
        <v>5411</v>
      </c>
      <c r="D350" s="87" t="s">
        <v>880</v>
      </c>
      <c r="I350" s="88" t="s">
        <v>881</v>
      </c>
      <c r="J350" s="88">
        <v>5</v>
      </c>
      <c r="K350" s="88"/>
      <c r="L350" s="88"/>
      <c r="M350" s="88"/>
    </row>
    <row r="351" spans="1:14" ht="11.85" customHeight="1" x14ac:dyDescent="0.2">
      <c r="A351" s="75">
        <v>351</v>
      </c>
      <c r="B351" s="116">
        <v>5412</v>
      </c>
      <c r="D351" s="87" t="s">
        <v>882</v>
      </c>
      <c r="I351" s="88" t="s">
        <v>883</v>
      </c>
      <c r="J351" s="88">
        <v>5</v>
      </c>
      <c r="K351" s="88"/>
      <c r="L351" s="88"/>
      <c r="M351" s="88"/>
    </row>
  </sheetData>
  <autoFilter ref="B1:M351" xr:uid="{00000000-0009-0000-0000-000000000000}"/>
  <sortState xmlns:xlrd2="http://schemas.microsoft.com/office/spreadsheetml/2017/richdata2" ref="A1:M379">
    <sortCondition ref="A72"/>
  </sortState>
  <phoneticPr fontId="2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8"/>
  <sheetViews>
    <sheetView workbookViewId="0">
      <pane ySplit="1" topLeftCell="A61" activePane="bottomLeft" state="frozen"/>
      <selection pane="bottomLeft" activeCell="B1" sqref="B1:B1048576"/>
    </sheetView>
  </sheetViews>
  <sheetFormatPr defaultRowHeight="12.75" x14ac:dyDescent="0.2"/>
  <cols>
    <col min="1" max="1" width="44.42578125" style="96" bestFit="1" customWidth="1"/>
    <col min="2" max="2" width="12.5703125" style="4" bestFit="1" customWidth="1"/>
    <col min="3" max="16384" width="9.140625" style="12"/>
  </cols>
  <sheetData>
    <row r="1" spans="1:3" s="5" customFormat="1" x14ac:dyDescent="0.2">
      <c r="A1" s="97" t="s">
        <v>964</v>
      </c>
      <c r="B1" s="98" t="s">
        <v>965</v>
      </c>
    </row>
    <row r="2" spans="1:3" x14ac:dyDescent="0.2">
      <c r="A2" s="95" t="s">
        <v>956</v>
      </c>
      <c r="B2" s="4">
        <v>218</v>
      </c>
      <c r="C2" s="12" t="str">
        <f t="shared" ref="C2:C15" si="0">IF(A2=A1,"X","")</f>
        <v/>
      </c>
    </row>
    <row r="3" spans="1:3" x14ac:dyDescent="0.2">
      <c r="A3" s="95" t="s">
        <v>957</v>
      </c>
      <c r="B3" s="4">
        <v>193</v>
      </c>
      <c r="C3" s="12" t="str">
        <f t="shared" si="0"/>
        <v/>
      </c>
    </row>
    <row r="4" spans="1:3" x14ac:dyDescent="0.2">
      <c r="A4" s="95" t="s">
        <v>937</v>
      </c>
      <c r="B4" s="4">
        <v>5581</v>
      </c>
      <c r="C4" s="12" t="str">
        <f t="shared" si="0"/>
        <v/>
      </c>
    </row>
    <row r="5" spans="1:3" x14ac:dyDescent="0.2">
      <c r="A5" s="95" t="s">
        <v>938</v>
      </c>
      <c r="B5" s="4">
        <v>5501</v>
      </c>
      <c r="C5" s="12" t="str">
        <f t="shared" si="0"/>
        <v/>
      </c>
    </row>
    <row r="6" spans="1:3" x14ac:dyDescent="0.2">
      <c r="A6" s="95" t="s">
        <v>82</v>
      </c>
      <c r="B6" s="4">
        <v>5121</v>
      </c>
      <c r="C6" s="12" t="str">
        <f t="shared" si="0"/>
        <v/>
      </c>
    </row>
    <row r="7" spans="1:3" x14ac:dyDescent="0.2">
      <c r="A7" s="95" t="s">
        <v>171</v>
      </c>
      <c r="B7" s="4">
        <v>8020</v>
      </c>
      <c r="C7" s="12" t="str">
        <f t="shared" si="0"/>
        <v/>
      </c>
    </row>
    <row r="8" spans="1:3" x14ac:dyDescent="0.2">
      <c r="A8" s="95" t="s">
        <v>945</v>
      </c>
      <c r="B8" s="4">
        <v>8384</v>
      </c>
      <c r="C8" s="12" t="str">
        <f t="shared" si="0"/>
        <v/>
      </c>
    </row>
    <row r="9" spans="1:3" x14ac:dyDescent="0.2">
      <c r="A9" s="95" t="s">
        <v>946</v>
      </c>
      <c r="B9" s="4">
        <v>8378</v>
      </c>
      <c r="C9" s="12" t="str">
        <f t="shared" si="0"/>
        <v/>
      </c>
    </row>
    <row r="10" spans="1:3" x14ac:dyDescent="0.2">
      <c r="A10" s="95" t="s">
        <v>929</v>
      </c>
      <c r="B10" s="4">
        <v>12604</v>
      </c>
      <c r="C10" s="12" t="str">
        <f t="shared" si="0"/>
        <v/>
      </c>
    </row>
    <row r="11" spans="1:3" x14ac:dyDescent="0.2">
      <c r="A11" s="95" t="s">
        <v>939</v>
      </c>
      <c r="B11" s="4">
        <v>5517</v>
      </c>
      <c r="C11" s="12" t="str">
        <f t="shared" si="0"/>
        <v/>
      </c>
    </row>
    <row r="12" spans="1:3" x14ac:dyDescent="0.2">
      <c r="A12" s="95" t="s">
        <v>485</v>
      </c>
      <c r="B12" s="4">
        <v>721</v>
      </c>
      <c r="C12" s="12" t="str">
        <f t="shared" si="0"/>
        <v/>
      </c>
    </row>
    <row r="13" spans="1:3" x14ac:dyDescent="0.2">
      <c r="A13" s="95" t="s">
        <v>773</v>
      </c>
      <c r="B13" s="4">
        <v>7769</v>
      </c>
      <c r="C13" s="12" t="str">
        <f t="shared" si="0"/>
        <v/>
      </c>
    </row>
    <row r="14" spans="1:3" x14ac:dyDescent="0.2">
      <c r="A14" s="95" t="s">
        <v>647</v>
      </c>
      <c r="B14" s="4">
        <v>12601</v>
      </c>
      <c r="C14" s="12" t="str">
        <f t="shared" si="0"/>
        <v/>
      </c>
    </row>
    <row r="15" spans="1:3" x14ac:dyDescent="0.2">
      <c r="A15" s="95" t="s">
        <v>884</v>
      </c>
      <c r="B15" s="4">
        <v>5138</v>
      </c>
      <c r="C15" s="12" t="str">
        <f t="shared" si="0"/>
        <v/>
      </c>
    </row>
    <row r="16" spans="1:3" x14ac:dyDescent="0.2">
      <c r="A16" s="112" t="s">
        <v>1247</v>
      </c>
      <c r="B16" s="4">
        <v>178</v>
      </c>
    </row>
    <row r="17" spans="1:3" x14ac:dyDescent="0.2">
      <c r="A17" s="95" t="s">
        <v>716</v>
      </c>
      <c r="B17" s="4">
        <v>6037</v>
      </c>
      <c r="C17" s="12" t="str">
        <f t="shared" ref="C17:C30" si="1">IF(A17=A16,"X","")</f>
        <v/>
      </c>
    </row>
    <row r="18" spans="1:3" x14ac:dyDescent="0.2">
      <c r="A18" s="95" t="s">
        <v>705</v>
      </c>
      <c r="B18" s="4">
        <v>4802</v>
      </c>
      <c r="C18" s="12" t="str">
        <f t="shared" si="1"/>
        <v/>
      </c>
    </row>
    <row r="19" spans="1:3" x14ac:dyDescent="0.2">
      <c r="A19" s="95" t="s">
        <v>706</v>
      </c>
      <c r="B19" s="4">
        <v>4819</v>
      </c>
      <c r="C19" s="12" t="str">
        <f t="shared" si="1"/>
        <v/>
      </c>
    </row>
    <row r="20" spans="1:3" x14ac:dyDescent="0.2">
      <c r="A20" s="95" t="s">
        <v>69</v>
      </c>
      <c r="B20" s="4">
        <v>8237</v>
      </c>
      <c r="C20" s="12" t="str">
        <f t="shared" si="1"/>
        <v/>
      </c>
    </row>
    <row r="21" spans="1:3" x14ac:dyDescent="0.2">
      <c r="A21" s="95" t="s">
        <v>730</v>
      </c>
      <c r="B21" s="4">
        <v>12629</v>
      </c>
      <c r="C21" s="12" t="str">
        <f t="shared" si="1"/>
        <v/>
      </c>
    </row>
    <row r="22" spans="1:3" x14ac:dyDescent="0.2">
      <c r="A22" s="95" t="s">
        <v>243</v>
      </c>
      <c r="B22" s="4">
        <v>11593</v>
      </c>
      <c r="C22" s="12" t="str">
        <f t="shared" si="1"/>
        <v/>
      </c>
    </row>
    <row r="23" spans="1:3" x14ac:dyDescent="0.2">
      <c r="A23" s="95" t="s">
        <v>757</v>
      </c>
      <c r="B23" s="4">
        <v>5180</v>
      </c>
      <c r="C23" s="12" t="str">
        <f t="shared" si="1"/>
        <v/>
      </c>
    </row>
    <row r="24" spans="1:3" x14ac:dyDescent="0.2">
      <c r="A24" s="95" t="s">
        <v>947</v>
      </c>
      <c r="B24" s="4">
        <v>8467</v>
      </c>
      <c r="C24" s="12" t="str">
        <f t="shared" si="1"/>
        <v/>
      </c>
    </row>
    <row r="25" spans="1:3" x14ac:dyDescent="0.2">
      <c r="A25" s="95" t="s">
        <v>176</v>
      </c>
      <c r="B25" s="4">
        <v>5211</v>
      </c>
      <c r="C25" s="12" t="str">
        <f t="shared" si="1"/>
        <v/>
      </c>
    </row>
    <row r="26" spans="1:3" x14ac:dyDescent="0.2">
      <c r="A26" s="95" t="s">
        <v>767</v>
      </c>
      <c r="B26" s="4">
        <v>5693</v>
      </c>
      <c r="C26" s="12" t="str">
        <f t="shared" si="1"/>
        <v/>
      </c>
    </row>
    <row r="27" spans="1:3" x14ac:dyDescent="0.2">
      <c r="A27" s="95" t="s">
        <v>173</v>
      </c>
      <c r="B27" s="4">
        <v>5671</v>
      </c>
      <c r="C27" s="12" t="str">
        <f t="shared" si="1"/>
        <v/>
      </c>
    </row>
    <row r="28" spans="1:3" x14ac:dyDescent="0.2">
      <c r="A28" s="95" t="s">
        <v>174</v>
      </c>
      <c r="B28" s="4">
        <v>5196</v>
      </c>
      <c r="C28" s="12" t="str">
        <f t="shared" si="1"/>
        <v/>
      </c>
    </row>
    <row r="29" spans="1:3" x14ac:dyDescent="0.2">
      <c r="A29" s="95" t="s">
        <v>915</v>
      </c>
      <c r="B29" s="4">
        <v>9604</v>
      </c>
      <c r="C29" s="12" t="str">
        <f t="shared" si="1"/>
        <v/>
      </c>
    </row>
    <row r="30" spans="1:3" x14ac:dyDescent="0.2">
      <c r="A30" s="95" t="s">
        <v>103</v>
      </c>
      <c r="B30" s="4">
        <v>4713</v>
      </c>
      <c r="C30" s="12" t="str">
        <f t="shared" si="1"/>
        <v/>
      </c>
    </row>
    <row r="31" spans="1:3" x14ac:dyDescent="0.2">
      <c r="A31" s="95" t="s">
        <v>695</v>
      </c>
      <c r="B31" s="4">
        <v>5279</v>
      </c>
      <c r="C31" s="4"/>
    </row>
    <row r="32" spans="1:3" x14ac:dyDescent="0.2">
      <c r="A32" s="95" t="s">
        <v>958</v>
      </c>
      <c r="B32" s="4">
        <v>7982</v>
      </c>
      <c r="C32" s="12" t="str">
        <f>IF(A32=A31,"X","")</f>
        <v/>
      </c>
    </row>
    <row r="33" spans="1:3" x14ac:dyDescent="0.2">
      <c r="A33" s="95" t="s">
        <v>317</v>
      </c>
      <c r="B33" s="4">
        <v>5240</v>
      </c>
      <c r="C33" s="12" t="str">
        <f>IF(A33=A32,"X","")</f>
        <v/>
      </c>
    </row>
    <row r="34" spans="1:3" x14ac:dyDescent="0.2">
      <c r="A34" s="112" t="s">
        <v>1241</v>
      </c>
      <c r="B34" s="4">
        <v>4529</v>
      </c>
    </row>
    <row r="35" spans="1:3" x14ac:dyDescent="0.2">
      <c r="A35" s="95" t="s">
        <v>316</v>
      </c>
      <c r="B35" s="4">
        <v>173</v>
      </c>
      <c r="C35" s="12" t="str">
        <f>IF(A35=A34,"X","")</f>
        <v/>
      </c>
    </row>
    <row r="36" spans="1:3" x14ac:dyDescent="0.2">
      <c r="A36" s="95" t="s">
        <v>568</v>
      </c>
      <c r="B36" s="4">
        <v>4529</v>
      </c>
      <c r="C36" s="12" t="str">
        <f>IF(A36=A35,"X","")</f>
        <v/>
      </c>
    </row>
    <row r="37" spans="1:3" x14ac:dyDescent="0.2">
      <c r="A37" s="95" t="s">
        <v>66</v>
      </c>
      <c r="B37" s="4">
        <v>691</v>
      </c>
      <c r="C37" s="12" t="str">
        <f>IF(A37=A36,"X","")</f>
        <v/>
      </c>
    </row>
    <row r="38" spans="1:3" x14ac:dyDescent="0.2">
      <c r="A38" s="95" t="s">
        <v>68</v>
      </c>
      <c r="B38" s="4">
        <v>9403</v>
      </c>
      <c r="C38" s="12" t="str">
        <f>IF(A38=A37,"X","")</f>
        <v/>
      </c>
    </row>
    <row r="39" spans="1:3" x14ac:dyDescent="0.2">
      <c r="A39" s="112" t="s">
        <v>1250</v>
      </c>
      <c r="B39" s="4">
        <v>5613</v>
      </c>
    </row>
    <row r="40" spans="1:3" x14ac:dyDescent="0.2">
      <c r="A40" s="95" t="s">
        <v>532</v>
      </c>
      <c r="B40" s="4">
        <v>7717</v>
      </c>
      <c r="C40" s="12" t="str">
        <f>IF(A40=A39,"X","")</f>
        <v/>
      </c>
    </row>
    <row r="41" spans="1:3" x14ac:dyDescent="0.2">
      <c r="A41" s="95" t="s">
        <v>79</v>
      </c>
      <c r="B41" s="4">
        <v>201</v>
      </c>
      <c r="C41" s="12" t="str">
        <f>IF(A41=A40,"X","")</f>
        <v/>
      </c>
    </row>
    <row r="42" spans="1:3" x14ac:dyDescent="0.2">
      <c r="A42" s="122" t="s">
        <v>1254</v>
      </c>
      <c r="B42" s="4">
        <v>14025</v>
      </c>
    </row>
    <row r="43" spans="1:3" x14ac:dyDescent="0.2">
      <c r="A43" s="95" t="s">
        <v>74</v>
      </c>
      <c r="B43" s="4">
        <v>1011</v>
      </c>
      <c r="C43" s="12" t="str">
        <f t="shared" ref="C43:C78" si="2">IF(A43=A42,"X","")</f>
        <v/>
      </c>
    </row>
    <row r="44" spans="1:3" x14ac:dyDescent="0.2">
      <c r="A44" s="95" t="s">
        <v>948</v>
      </c>
      <c r="B44" s="4">
        <v>8391</v>
      </c>
      <c r="C44" s="12" t="str">
        <f t="shared" si="2"/>
        <v/>
      </c>
    </row>
    <row r="45" spans="1:3" x14ac:dyDescent="0.2">
      <c r="A45" s="95" t="s">
        <v>315</v>
      </c>
      <c r="B45" s="4">
        <v>13043</v>
      </c>
      <c r="C45" s="12" t="str">
        <f t="shared" si="2"/>
        <v/>
      </c>
    </row>
    <row r="46" spans="1:3" x14ac:dyDescent="0.2">
      <c r="A46" s="95" t="s">
        <v>940</v>
      </c>
      <c r="B46" s="4">
        <v>5612</v>
      </c>
      <c r="C46" s="12" t="str">
        <f t="shared" si="2"/>
        <v/>
      </c>
    </row>
    <row r="47" spans="1:3" x14ac:dyDescent="0.2">
      <c r="A47" s="95" t="s">
        <v>941</v>
      </c>
      <c r="B47" s="4">
        <v>5530</v>
      </c>
      <c r="C47" s="12" t="str">
        <f t="shared" si="2"/>
        <v/>
      </c>
    </row>
    <row r="48" spans="1:3" x14ac:dyDescent="0.2">
      <c r="A48" s="95" t="s">
        <v>1255</v>
      </c>
      <c r="B48" s="4">
        <v>176</v>
      </c>
      <c r="C48" s="12" t="str">
        <f t="shared" si="2"/>
        <v/>
      </c>
    </row>
    <row r="49" spans="1:3" x14ac:dyDescent="0.2">
      <c r="A49" s="95" t="s">
        <v>539</v>
      </c>
      <c r="B49" s="4">
        <v>172</v>
      </c>
      <c r="C49" s="12" t="str">
        <f t="shared" si="2"/>
        <v/>
      </c>
    </row>
    <row r="50" spans="1:3" x14ac:dyDescent="0.2">
      <c r="A50" s="95" t="s">
        <v>931</v>
      </c>
      <c r="B50" s="4">
        <v>8349</v>
      </c>
      <c r="C50" s="12" t="str">
        <f t="shared" si="2"/>
        <v/>
      </c>
    </row>
    <row r="51" spans="1:3" x14ac:dyDescent="0.2">
      <c r="A51" s="95" t="s">
        <v>932</v>
      </c>
      <c r="B51" s="4">
        <v>8361</v>
      </c>
      <c r="C51" s="12" t="str">
        <f t="shared" si="2"/>
        <v/>
      </c>
    </row>
    <row r="52" spans="1:3" x14ac:dyDescent="0.2">
      <c r="A52" s="95" t="s">
        <v>629</v>
      </c>
      <c r="B52" s="4">
        <v>4742</v>
      </c>
      <c r="C52" s="12" t="str">
        <f t="shared" si="2"/>
        <v/>
      </c>
    </row>
    <row r="53" spans="1:3" x14ac:dyDescent="0.2">
      <c r="A53" s="95" t="s">
        <v>73</v>
      </c>
      <c r="B53" s="4">
        <v>1005</v>
      </c>
      <c r="C53" s="12" t="str">
        <f t="shared" si="2"/>
        <v/>
      </c>
    </row>
    <row r="54" spans="1:3" x14ac:dyDescent="0.2">
      <c r="A54" s="95" t="s">
        <v>381</v>
      </c>
      <c r="B54" s="4">
        <v>9484</v>
      </c>
      <c r="C54" s="12" t="str">
        <f t="shared" si="2"/>
        <v/>
      </c>
    </row>
    <row r="55" spans="1:3" x14ac:dyDescent="0.2">
      <c r="A55" s="95" t="s">
        <v>481</v>
      </c>
      <c r="B55" s="4">
        <v>709</v>
      </c>
      <c r="C55" s="12" t="str">
        <f t="shared" si="2"/>
        <v/>
      </c>
    </row>
    <row r="56" spans="1:3" x14ac:dyDescent="0.2">
      <c r="A56" s="95" t="s">
        <v>727</v>
      </c>
      <c r="B56" s="4">
        <v>9410</v>
      </c>
      <c r="C56" s="12" t="str">
        <f t="shared" si="2"/>
        <v/>
      </c>
    </row>
    <row r="57" spans="1:3" x14ac:dyDescent="0.2">
      <c r="A57" s="95" t="s">
        <v>942</v>
      </c>
      <c r="B57" s="4">
        <v>5598</v>
      </c>
      <c r="C57" s="12" t="str">
        <f t="shared" si="2"/>
        <v/>
      </c>
    </row>
    <row r="58" spans="1:3" x14ac:dyDescent="0.2">
      <c r="A58" s="95" t="s">
        <v>70</v>
      </c>
      <c r="B58" s="4">
        <v>981</v>
      </c>
      <c r="C58" s="12" t="str">
        <f t="shared" si="2"/>
        <v/>
      </c>
    </row>
    <row r="59" spans="1:3" x14ac:dyDescent="0.2">
      <c r="A59" s="95" t="s">
        <v>546</v>
      </c>
      <c r="B59" s="4">
        <v>9308</v>
      </c>
      <c r="C59" s="12" t="str">
        <f t="shared" si="2"/>
        <v/>
      </c>
    </row>
    <row r="60" spans="1:3" x14ac:dyDescent="0.2">
      <c r="A60" s="95" t="s">
        <v>723</v>
      </c>
      <c r="B60" s="4">
        <v>7752</v>
      </c>
      <c r="C60" s="12" t="str">
        <f t="shared" si="2"/>
        <v/>
      </c>
    </row>
    <row r="61" spans="1:3" x14ac:dyDescent="0.2">
      <c r="A61" s="95" t="s">
        <v>853</v>
      </c>
      <c r="B61" s="4">
        <v>5291</v>
      </c>
      <c r="C61" s="12" t="str">
        <f t="shared" si="2"/>
        <v/>
      </c>
    </row>
    <row r="62" spans="1:3" x14ac:dyDescent="0.2">
      <c r="A62" s="95" t="s">
        <v>104</v>
      </c>
      <c r="B62" s="4">
        <v>4771</v>
      </c>
      <c r="C62" s="12" t="str">
        <f t="shared" si="2"/>
        <v/>
      </c>
    </row>
    <row r="63" spans="1:3" x14ac:dyDescent="0.2">
      <c r="A63" s="95" t="s">
        <v>771</v>
      </c>
      <c r="B63" s="4">
        <v>6787</v>
      </c>
      <c r="C63" s="12" t="str">
        <f t="shared" si="2"/>
        <v/>
      </c>
    </row>
    <row r="64" spans="1:3" x14ac:dyDescent="0.2">
      <c r="A64" s="95" t="s">
        <v>181</v>
      </c>
      <c r="B64" s="4">
        <v>13008</v>
      </c>
      <c r="C64" s="12" t="str">
        <f t="shared" si="2"/>
        <v/>
      </c>
    </row>
    <row r="65" spans="1:3" x14ac:dyDescent="0.2">
      <c r="A65" s="95" t="s">
        <v>943</v>
      </c>
      <c r="B65" s="4">
        <v>5606</v>
      </c>
      <c r="C65" s="12" t="str">
        <f t="shared" si="2"/>
        <v/>
      </c>
    </row>
    <row r="66" spans="1:3" x14ac:dyDescent="0.2">
      <c r="A66" s="95" t="s">
        <v>944</v>
      </c>
      <c r="B66" s="4">
        <v>5523</v>
      </c>
      <c r="C66" s="12" t="str">
        <f t="shared" si="2"/>
        <v/>
      </c>
    </row>
    <row r="67" spans="1:3" x14ac:dyDescent="0.2">
      <c r="A67" s="95" t="s">
        <v>178</v>
      </c>
      <c r="B67" s="4">
        <v>8036</v>
      </c>
      <c r="C67" s="12" t="str">
        <f t="shared" si="2"/>
        <v/>
      </c>
    </row>
    <row r="68" spans="1:3" x14ac:dyDescent="0.2">
      <c r="A68" s="95" t="s">
        <v>1265</v>
      </c>
      <c r="B68" s="4">
        <v>5173</v>
      </c>
      <c r="C68" s="12" t="str">
        <f t="shared" si="2"/>
        <v/>
      </c>
    </row>
    <row r="69" spans="1:3" x14ac:dyDescent="0.2">
      <c r="A69" s="95" t="s">
        <v>769</v>
      </c>
      <c r="B69" s="4">
        <v>6014</v>
      </c>
      <c r="C69" s="12" t="str">
        <f t="shared" si="2"/>
        <v/>
      </c>
    </row>
    <row r="70" spans="1:3" x14ac:dyDescent="0.2">
      <c r="A70" s="95" t="s">
        <v>756</v>
      </c>
      <c r="B70" s="4">
        <v>5167</v>
      </c>
      <c r="C70" s="12" t="str">
        <f t="shared" si="2"/>
        <v/>
      </c>
    </row>
    <row r="71" spans="1:3" x14ac:dyDescent="0.2">
      <c r="A71" s="95" t="s">
        <v>741</v>
      </c>
      <c r="B71" s="4">
        <v>9412</v>
      </c>
      <c r="C71" s="12" t="str">
        <f t="shared" si="2"/>
        <v/>
      </c>
    </row>
    <row r="72" spans="1:3" x14ac:dyDescent="0.2">
      <c r="A72" s="95" t="s">
        <v>949</v>
      </c>
      <c r="B72" s="4">
        <v>8451</v>
      </c>
      <c r="C72" s="12" t="str">
        <f t="shared" si="2"/>
        <v/>
      </c>
    </row>
    <row r="73" spans="1:3" x14ac:dyDescent="0.2">
      <c r="A73" s="95" t="s">
        <v>483</v>
      </c>
      <c r="B73" s="4">
        <v>715</v>
      </c>
      <c r="C73" s="12" t="str">
        <f t="shared" si="2"/>
        <v/>
      </c>
    </row>
    <row r="74" spans="1:3" x14ac:dyDescent="0.2">
      <c r="A74" s="95" t="s">
        <v>725</v>
      </c>
      <c r="B74" s="4">
        <v>7835</v>
      </c>
      <c r="C74" s="12" t="str">
        <f t="shared" si="2"/>
        <v/>
      </c>
    </row>
    <row r="75" spans="1:3" x14ac:dyDescent="0.2">
      <c r="A75" s="95" t="s">
        <v>713</v>
      </c>
      <c r="B75" s="4">
        <v>4854</v>
      </c>
      <c r="C75" s="12" t="str">
        <f t="shared" si="2"/>
        <v/>
      </c>
    </row>
    <row r="76" spans="1:3" x14ac:dyDescent="0.2">
      <c r="A76" s="95" t="s">
        <v>1240</v>
      </c>
      <c r="B76" s="4">
        <v>7999</v>
      </c>
      <c r="C76" s="12" t="str">
        <f t="shared" si="2"/>
        <v/>
      </c>
    </row>
    <row r="77" spans="1:3" x14ac:dyDescent="0.2">
      <c r="A77" s="95" t="s">
        <v>521</v>
      </c>
      <c r="B77" s="4">
        <v>8239</v>
      </c>
      <c r="C77" s="12" t="str">
        <f t="shared" si="2"/>
        <v/>
      </c>
    </row>
    <row r="78" spans="1:3" x14ac:dyDescent="0.2">
      <c r="A78" s="95" t="s">
        <v>519</v>
      </c>
      <c r="B78" s="4">
        <v>8238</v>
      </c>
      <c r="C78" s="12" t="str">
        <f t="shared" si="2"/>
        <v/>
      </c>
    </row>
    <row r="79" spans="1:3" x14ac:dyDescent="0.2">
      <c r="A79" s="112" t="s">
        <v>1245</v>
      </c>
      <c r="B79" s="4">
        <v>8240</v>
      </c>
    </row>
    <row r="80" spans="1:3" x14ac:dyDescent="0.2">
      <c r="A80" s="95" t="s">
        <v>591</v>
      </c>
      <c r="B80" s="4">
        <v>4541</v>
      </c>
      <c r="C80" s="12" t="str">
        <f>IF(A80=A79,"X","")</f>
        <v/>
      </c>
    </row>
    <row r="81" spans="1:3" x14ac:dyDescent="0.2">
      <c r="A81" s="95" t="s">
        <v>603</v>
      </c>
      <c r="B81" s="4">
        <v>12872</v>
      </c>
    </row>
    <row r="82" spans="1:3" x14ac:dyDescent="0.2">
      <c r="A82" s="95" t="s">
        <v>597</v>
      </c>
      <c r="B82" s="4">
        <v>12871</v>
      </c>
      <c r="C82" s="12" t="str">
        <f t="shared" ref="C82:C145" si="3">IF(A82=A81,"X","")</f>
        <v/>
      </c>
    </row>
    <row r="83" spans="1:3" x14ac:dyDescent="0.2">
      <c r="A83" s="112" t="s">
        <v>599</v>
      </c>
      <c r="B83" s="4">
        <v>13853</v>
      </c>
      <c r="C83" s="12" t="str">
        <f t="shared" si="3"/>
        <v/>
      </c>
    </row>
    <row r="84" spans="1:3" x14ac:dyDescent="0.2">
      <c r="A84" s="95" t="s">
        <v>595</v>
      </c>
      <c r="B84" s="4">
        <v>12612</v>
      </c>
      <c r="C84" s="12" t="str">
        <f t="shared" si="3"/>
        <v/>
      </c>
    </row>
    <row r="85" spans="1:3" x14ac:dyDescent="0.2">
      <c r="A85" s="95" t="s">
        <v>936</v>
      </c>
      <c r="B85" s="4">
        <v>8102</v>
      </c>
      <c r="C85" s="12" t="str">
        <f t="shared" si="3"/>
        <v/>
      </c>
    </row>
    <row r="86" spans="1:3" x14ac:dyDescent="0.2">
      <c r="A86" s="95" t="s">
        <v>583</v>
      </c>
      <c r="B86" s="4">
        <v>7701</v>
      </c>
      <c r="C86" s="12" t="str">
        <f t="shared" si="3"/>
        <v/>
      </c>
    </row>
    <row r="87" spans="1:3" x14ac:dyDescent="0.2">
      <c r="A87" s="95" t="s">
        <v>611</v>
      </c>
      <c r="B87" s="4">
        <v>12876</v>
      </c>
      <c r="C87" s="12" t="str">
        <f t="shared" si="3"/>
        <v/>
      </c>
    </row>
    <row r="88" spans="1:3" x14ac:dyDescent="0.2">
      <c r="A88" s="95" t="s">
        <v>605</v>
      </c>
      <c r="B88" s="4">
        <v>12873</v>
      </c>
      <c r="C88" s="12" t="str">
        <f t="shared" si="3"/>
        <v/>
      </c>
    </row>
    <row r="89" spans="1:3" x14ac:dyDescent="0.2">
      <c r="A89" s="95" t="s">
        <v>601</v>
      </c>
      <c r="B89" s="4">
        <v>9568</v>
      </c>
      <c r="C89" s="12" t="str">
        <f t="shared" si="3"/>
        <v/>
      </c>
    </row>
    <row r="90" spans="1:3" x14ac:dyDescent="0.2">
      <c r="A90" s="95" t="s">
        <v>1242</v>
      </c>
      <c r="B90" s="4">
        <v>5753</v>
      </c>
      <c r="C90" s="12" t="str">
        <f t="shared" si="3"/>
        <v/>
      </c>
    </row>
    <row r="91" spans="1:3" x14ac:dyDescent="0.2">
      <c r="A91" s="95" t="s">
        <v>720</v>
      </c>
      <c r="B91" s="4">
        <v>7597</v>
      </c>
      <c r="C91" s="12" t="str">
        <f t="shared" si="3"/>
        <v/>
      </c>
    </row>
    <row r="92" spans="1:3" x14ac:dyDescent="0.2">
      <c r="A92" s="95" t="s">
        <v>950</v>
      </c>
      <c r="B92" s="4">
        <v>8444</v>
      </c>
      <c r="C92" s="12" t="str">
        <f t="shared" si="3"/>
        <v/>
      </c>
    </row>
    <row r="93" spans="1:3" x14ac:dyDescent="0.2">
      <c r="A93" s="95" t="s">
        <v>613</v>
      </c>
      <c r="B93" s="4">
        <v>12877</v>
      </c>
      <c r="C93" s="12" t="str">
        <f t="shared" si="3"/>
        <v/>
      </c>
    </row>
    <row r="94" spans="1:3" x14ac:dyDescent="0.2">
      <c r="A94" s="95" t="s">
        <v>589</v>
      </c>
      <c r="B94" s="4">
        <v>9567</v>
      </c>
      <c r="C94" s="12" t="str">
        <f t="shared" si="3"/>
        <v/>
      </c>
    </row>
    <row r="95" spans="1:3" x14ac:dyDescent="0.2">
      <c r="A95" s="95" t="s">
        <v>607</v>
      </c>
      <c r="B95" s="4">
        <v>12874</v>
      </c>
      <c r="C95" s="12" t="str">
        <f t="shared" si="3"/>
        <v/>
      </c>
    </row>
    <row r="96" spans="1:3" x14ac:dyDescent="0.2">
      <c r="A96" s="95" t="s">
        <v>593</v>
      </c>
      <c r="B96" s="4">
        <v>11921</v>
      </c>
      <c r="C96" s="12" t="str">
        <f t="shared" si="3"/>
        <v/>
      </c>
    </row>
    <row r="97" spans="1:3" x14ac:dyDescent="0.2">
      <c r="A97" s="95" t="s">
        <v>587</v>
      </c>
      <c r="B97" s="4">
        <v>8711</v>
      </c>
      <c r="C97" s="12" t="str">
        <f t="shared" si="3"/>
        <v/>
      </c>
    </row>
    <row r="98" spans="1:3" x14ac:dyDescent="0.2">
      <c r="A98" s="95" t="s">
        <v>569</v>
      </c>
      <c r="B98" s="4">
        <v>5457</v>
      </c>
      <c r="C98" s="12" t="str">
        <f t="shared" si="3"/>
        <v/>
      </c>
    </row>
    <row r="99" spans="1:3" x14ac:dyDescent="0.2">
      <c r="A99" s="95" t="s">
        <v>577</v>
      </c>
      <c r="B99" s="4">
        <v>4593</v>
      </c>
      <c r="C99" s="12" t="str">
        <f t="shared" si="3"/>
        <v/>
      </c>
    </row>
    <row r="100" spans="1:3" x14ac:dyDescent="0.2">
      <c r="A100" s="95" t="s">
        <v>570</v>
      </c>
      <c r="B100" s="4">
        <v>4601</v>
      </c>
      <c r="C100" s="12" t="str">
        <f t="shared" si="3"/>
        <v/>
      </c>
    </row>
    <row r="101" spans="1:3" x14ac:dyDescent="0.2">
      <c r="A101" s="95" t="s">
        <v>702</v>
      </c>
      <c r="B101" s="4">
        <v>8473</v>
      </c>
      <c r="C101" s="12" t="str">
        <f t="shared" si="3"/>
        <v/>
      </c>
    </row>
    <row r="102" spans="1:3" x14ac:dyDescent="0.2">
      <c r="A102" s="95" t="s">
        <v>745</v>
      </c>
      <c r="B102" s="4">
        <v>4883</v>
      </c>
      <c r="C102" s="12" t="str">
        <f t="shared" si="3"/>
        <v/>
      </c>
    </row>
    <row r="103" spans="1:3" x14ac:dyDescent="0.2">
      <c r="A103" s="95" t="s">
        <v>933</v>
      </c>
      <c r="B103" s="4">
        <v>8823</v>
      </c>
      <c r="C103" s="12" t="str">
        <f t="shared" si="3"/>
        <v/>
      </c>
    </row>
    <row r="104" spans="1:3" x14ac:dyDescent="0.2">
      <c r="A104" s="95" t="s">
        <v>615</v>
      </c>
      <c r="B104" s="4">
        <v>9656</v>
      </c>
      <c r="C104" s="12" t="str">
        <f t="shared" si="3"/>
        <v/>
      </c>
    </row>
    <row r="105" spans="1:3" x14ac:dyDescent="0.2">
      <c r="A105" s="95" t="s">
        <v>233</v>
      </c>
      <c r="B105" s="4">
        <v>12990</v>
      </c>
      <c r="C105" s="12" t="str">
        <f t="shared" si="3"/>
        <v/>
      </c>
    </row>
    <row r="106" spans="1:3" x14ac:dyDescent="0.2">
      <c r="A106" s="95" t="s">
        <v>755</v>
      </c>
      <c r="B106" s="4">
        <v>5139</v>
      </c>
      <c r="C106" s="12" t="str">
        <f t="shared" si="3"/>
        <v/>
      </c>
    </row>
    <row r="107" spans="1:3" x14ac:dyDescent="0.2">
      <c r="A107" s="95" t="s">
        <v>872</v>
      </c>
      <c r="B107" s="4">
        <v>5351</v>
      </c>
      <c r="C107" s="12" t="str">
        <f t="shared" si="3"/>
        <v/>
      </c>
    </row>
    <row r="108" spans="1:3" x14ac:dyDescent="0.2">
      <c r="A108" s="95" t="s">
        <v>184</v>
      </c>
      <c r="B108" s="4">
        <v>5664</v>
      </c>
      <c r="C108" s="12" t="str">
        <f t="shared" si="3"/>
        <v/>
      </c>
    </row>
    <row r="109" spans="1:3" x14ac:dyDescent="0.2">
      <c r="A109" s="95" t="s">
        <v>854</v>
      </c>
      <c r="B109" s="4">
        <v>7166</v>
      </c>
      <c r="C109" s="12" t="str">
        <f t="shared" si="3"/>
        <v/>
      </c>
    </row>
    <row r="110" spans="1:3" x14ac:dyDescent="0.2">
      <c r="A110" s="95" t="s">
        <v>71</v>
      </c>
      <c r="B110" s="4">
        <v>7568</v>
      </c>
      <c r="C110" s="12" t="str">
        <f t="shared" si="3"/>
        <v/>
      </c>
    </row>
    <row r="111" spans="1:3" x14ac:dyDescent="0.2">
      <c r="A111" s="95" t="s">
        <v>717</v>
      </c>
      <c r="B111" s="4">
        <v>7077</v>
      </c>
      <c r="C111" s="12" t="str">
        <f t="shared" si="3"/>
        <v/>
      </c>
    </row>
    <row r="112" spans="1:3" x14ac:dyDescent="0.2">
      <c r="A112" s="95" t="s">
        <v>743</v>
      </c>
      <c r="B112" s="4">
        <v>9413</v>
      </c>
      <c r="C112" s="12" t="str">
        <f t="shared" si="3"/>
        <v/>
      </c>
    </row>
    <row r="113" spans="1:3" x14ac:dyDescent="0.2">
      <c r="A113" s="95" t="s">
        <v>714</v>
      </c>
      <c r="B113" s="4">
        <v>4861</v>
      </c>
      <c r="C113" s="12" t="str">
        <f t="shared" si="3"/>
        <v/>
      </c>
    </row>
    <row r="114" spans="1:3" x14ac:dyDescent="0.2">
      <c r="A114" s="95" t="s">
        <v>715</v>
      </c>
      <c r="B114" s="4">
        <v>6008</v>
      </c>
      <c r="C114" s="12" t="str">
        <f t="shared" si="3"/>
        <v/>
      </c>
    </row>
    <row r="115" spans="1:3" x14ac:dyDescent="0.2">
      <c r="A115" s="95" t="s">
        <v>718</v>
      </c>
      <c r="B115" s="4">
        <v>7367</v>
      </c>
      <c r="C115" s="12" t="str">
        <f t="shared" si="3"/>
        <v/>
      </c>
    </row>
    <row r="116" spans="1:3" x14ac:dyDescent="0.2">
      <c r="A116" s="95" t="s">
        <v>737</v>
      </c>
      <c r="B116" s="4">
        <v>4922</v>
      </c>
      <c r="C116" s="12" t="str">
        <f t="shared" si="3"/>
        <v/>
      </c>
    </row>
    <row r="117" spans="1:3" x14ac:dyDescent="0.2">
      <c r="A117" s="95" t="s">
        <v>649</v>
      </c>
      <c r="B117" s="4">
        <v>12603</v>
      </c>
      <c r="C117" s="12" t="str">
        <f t="shared" si="3"/>
        <v/>
      </c>
    </row>
    <row r="118" spans="1:3" x14ac:dyDescent="0.2">
      <c r="A118" s="95" t="s">
        <v>930</v>
      </c>
      <c r="B118" s="4">
        <v>12598</v>
      </c>
      <c r="C118" s="12" t="str">
        <f t="shared" si="3"/>
        <v/>
      </c>
    </row>
    <row r="119" spans="1:3" x14ac:dyDescent="0.2">
      <c r="A119" s="95" t="s">
        <v>641</v>
      </c>
      <c r="B119" s="4">
        <v>12599</v>
      </c>
      <c r="C119" s="12" t="str">
        <f t="shared" si="3"/>
        <v/>
      </c>
    </row>
    <row r="120" spans="1:3" x14ac:dyDescent="0.2">
      <c r="A120" s="95" t="s">
        <v>643</v>
      </c>
      <c r="B120" s="4">
        <v>12602</v>
      </c>
      <c r="C120" s="12" t="str">
        <f t="shared" si="3"/>
        <v/>
      </c>
    </row>
    <row r="121" spans="1:3" x14ac:dyDescent="0.2">
      <c r="A121" s="95" t="s">
        <v>633</v>
      </c>
      <c r="B121" s="4">
        <v>11535</v>
      </c>
      <c r="C121" s="12" t="str">
        <f t="shared" si="3"/>
        <v/>
      </c>
    </row>
    <row r="122" spans="1:3" x14ac:dyDescent="0.2">
      <c r="A122" s="95" t="s">
        <v>631</v>
      </c>
      <c r="B122" s="4">
        <v>7781</v>
      </c>
      <c r="C122" s="12" t="str">
        <f t="shared" si="3"/>
        <v/>
      </c>
    </row>
    <row r="123" spans="1:3" x14ac:dyDescent="0.2">
      <c r="A123" s="95" t="s">
        <v>308</v>
      </c>
      <c r="B123" s="4">
        <v>6617</v>
      </c>
      <c r="C123" s="12" t="str">
        <f t="shared" si="3"/>
        <v/>
      </c>
    </row>
    <row r="124" spans="1:3" x14ac:dyDescent="0.2">
      <c r="A124" s="95" t="s">
        <v>102</v>
      </c>
      <c r="B124" s="4">
        <v>4707</v>
      </c>
      <c r="C124" s="12" t="str">
        <f t="shared" si="3"/>
        <v/>
      </c>
    </row>
    <row r="125" spans="1:3" x14ac:dyDescent="0.2">
      <c r="A125" s="95" t="s">
        <v>739</v>
      </c>
      <c r="B125" s="4">
        <v>9411</v>
      </c>
      <c r="C125" s="12" t="str">
        <f t="shared" si="3"/>
        <v/>
      </c>
    </row>
    <row r="126" spans="1:3" x14ac:dyDescent="0.2">
      <c r="A126" s="95" t="s">
        <v>951</v>
      </c>
      <c r="B126" s="4">
        <v>8881</v>
      </c>
      <c r="C126" s="12" t="str">
        <f t="shared" si="3"/>
        <v/>
      </c>
    </row>
    <row r="127" spans="1:3" x14ac:dyDescent="0.2">
      <c r="A127" s="95" t="s">
        <v>555</v>
      </c>
      <c r="B127" s="4">
        <v>1146</v>
      </c>
      <c r="C127" s="12" t="str">
        <f t="shared" si="3"/>
        <v/>
      </c>
    </row>
    <row r="128" spans="1:3" x14ac:dyDescent="0.2">
      <c r="A128" s="95" t="s">
        <v>708</v>
      </c>
      <c r="B128" s="4">
        <v>4848</v>
      </c>
      <c r="C128" s="12" t="str">
        <f t="shared" si="3"/>
        <v/>
      </c>
    </row>
    <row r="129" spans="1:3" x14ac:dyDescent="0.2">
      <c r="A129" s="95" t="s">
        <v>379</v>
      </c>
      <c r="B129" s="4">
        <v>193</v>
      </c>
      <c r="C129" s="12" t="str">
        <f t="shared" si="3"/>
        <v/>
      </c>
    </row>
    <row r="130" spans="1:3" x14ac:dyDescent="0.2">
      <c r="A130" s="95" t="s">
        <v>782</v>
      </c>
      <c r="B130" s="4">
        <v>13051</v>
      </c>
      <c r="C130" s="12" t="str">
        <f t="shared" si="3"/>
        <v/>
      </c>
    </row>
    <row r="131" spans="1:3" x14ac:dyDescent="0.2">
      <c r="A131" s="95" t="s">
        <v>921</v>
      </c>
      <c r="B131" s="4">
        <v>8645</v>
      </c>
      <c r="C131" s="12" t="str">
        <f t="shared" si="3"/>
        <v/>
      </c>
    </row>
    <row r="132" spans="1:3" x14ac:dyDescent="0.2">
      <c r="A132" s="95" t="s">
        <v>777</v>
      </c>
      <c r="B132" s="4">
        <v>12813</v>
      </c>
      <c r="C132" s="12" t="str">
        <f t="shared" si="3"/>
        <v/>
      </c>
    </row>
    <row r="133" spans="1:3" x14ac:dyDescent="0.2">
      <c r="A133" s="95" t="s">
        <v>959</v>
      </c>
      <c r="B133" s="4">
        <v>13184</v>
      </c>
      <c r="C133" s="12" t="str">
        <f t="shared" si="3"/>
        <v/>
      </c>
    </row>
    <row r="134" spans="1:3" x14ac:dyDescent="0.2">
      <c r="A134" s="95" t="s">
        <v>719</v>
      </c>
      <c r="B134" s="4">
        <v>7841</v>
      </c>
      <c r="C134" s="12" t="str">
        <f t="shared" si="3"/>
        <v/>
      </c>
    </row>
    <row r="135" spans="1:3" x14ac:dyDescent="0.2">
      <c r="A135" s="95" t="s">
        <v>709</v>
      </c>
      <c r="B135" s="4">
        <v>4908</v>
      </c>
      <c r="C135" s="12" t="str">
        <f t="shared" si="3"/>
        <v/>
      </c>
    </row>
    <row r="136" spans="1:3" x14ac:dyDescent="0.2">
      <c r="A136" s="95" t="s">
        <v>952</v>
      </c>
      <c r="B136" s="4">
        <v>8409</v>
      </c>
      <c r="C136" s="12" t="str">
        <f t="shared" si="3"/>
        <v/>
      </c>
    </row>
    <row r="137" spans="1:3" x14ac:dyDescent="0.2">
      <c r="A137" s="95" t="s">
        <v>679</v>
      </c>
      <c r="B137" s="4">
        <v>4825</v>
      </c>
      <c r="C137" s="12" t="str">
        <f t="shared" si="3"/>
        <v/>
      </c>
    </row>
    <row r="138" spans="1:3" x14ac:dyDescent="0.2">
      <c r="A138" s="95" t="s">
        <v>953</v>
      </c>
      <c r="B138" s="4">
        <v>8415</v>
      </c>
      <c r="C138" s="12" t="str">
        <f t="shared" si="3"/>
        <v/>
      </c>
    </row>
    <row r="139" spans="1:3" x14ac:dyDescent="0.2">
      <c r="A139" s="95" t="s">
        <v>954</v>
      </c>
      <c r="B139" s="4">
        <v>8438</v>
      </c>
      <c r="C139" s="12" t="str">
        <f t="shared" si="3"/>
        <v/>
      </c>
    </row>
    <row r="140" spans="1:3" x14ac:dyDescent="0.2">
      <c r="A140" s="95" t="s">
        <v>707</v>
      </c>
      <c r="B140" s="4">
        <v>4831</v>
      </c>
      <c r="C140" s="12" t="str">
        <f t="shared" si="3"/>
        <v/>
      </c>
    </row>
    <row r="141" spans="1:3" x14ac:dyDescent="0.2">
      <c r="A141" s="95" t="s">
        <v>960</v>
      </c>
      <c r="B141" s="4">
        <v>4921</v>
      </c>
      <c r="C141" s="12" t="str">
        <f t="shared" si="3"/>
        <v/>
      </c>
    </row>
    <row r="142" spans="1:3" x14ac:dyDescent="0.2">
      <c r="A142" s="95" t="s">
        <v>710</v>
      </c>
      <c r="B142" s="4">
        <v>4914</v>
      </c>
      <c r="C142" s="12" t="str">
        <f t="shared" si="3"/>
        <v/>
      </c>
    </row>
    <row r="143" spans="1:3" x14ac:dyDescent="0.2">
      <c r="A143" s="95" t="s">
        <v>712</v>
      </c>
      <c r="B143" s="4">
        <v>4937</v>
      </c>
      <c r="C143" s="12" t="str">
        <f t="shared" si="3"/>
        <v/>
      </c>
    </row>
    <row r="144" spans="1:3" x14ac:dyDescent="0.2">
      <c r="A144" s="95" t="s">
        <v>955</v>
      </c>
      <c r="B144" s="4">
        <v>9596</v>
      </c>
      <c r="C144" s="12" t="str">
        <f t="shared" si="3"/>
        <v/>
      </c>
    </row>
    <row r="145" spans="1:3" x14ac:dyDescent="0.2">
      <c r="A145" s="95" t="s">
        <v>179</v>
      </c>
      <c r="B145" s="4">
        <v>5687</v>
      </c>
      <c r="C145" s="12" t="str">
        <f t="shared" si="3"/>
        <v/>
      </c>
    </row>
    <row r="146" spans="1:3" x14ac:dyDescent="0.2">
      <c r="A146" s="95" t="s">
        <v>762</v>
      </c>
      <c r="B146" s="4">
        <v>5227</v>
      </c>
      <c r="C146" s="12" t="str">
        <f t="shared" ref="C146:C151" si="4">IF(A146=A145,"X","")</f>
        <v/>
      </c>
    </row>
    <row r="147" spans="1:3" x14ac:dyDescent="0.2">
      <c r="A147" s="95" t="s">
        <v>858</v>
      </c>
      <c r="B147" s="4">
        <v>7984</v>
      </c>
      <c r="C147" s="12" t="str">
        <f t="shared" si="4"/>
        <v/>
      </c>
    </row>
    <row r="148" spans="1:3" x14ac:dyDescent="0.2">
      <c r="A148" s="95" t="s">
        <v>780</v>
      </c>
      <c r="B148" s="4">
        <v>13050</v>
      </c>
      <c r="C148" s="12" t="str">
        <f t="shared" si="4"/>
        <v/>
      </c>
    </row>
    <row r="149" spans="1:3" x14ac:dyDescent="0.2">
      <c r="A149" s="95" t="s">
        <v>65</v>
      </c>
      <c r="B149" s="4">
        <v>684</v>
      </c>
      <c r="C149" s="12" t="str">
        <f t="shared" si="4"/>
        <v/>
      </c>
    </row>
    <row r="150" spans="1:3" x14ac:dyDescent="0.2">
      <c r="A150" s="112" t="s">
        <v>977</v>
      </c>
      <c r="B150" s="4" t="s">
        <v>978</v>
      </c>
      <c r="C150" s="12" t="str">
        <f t="shared" si="4"/>
        <v/>
      </c>
    </row>
    <row r="151" spans="1:3" x14ac:dyDescent="0.2">
      <c r="A151" s="112" t="s">
        <v>976</v>
      </c>
      <c r="B151" s="4" t="s">
        <v>978</v>
      </c>
      <c r="C151" s="12" t="str">
        <f t="shared" si="4"/>
        <v/>
      </c>
    </row>
    <row r="152" spans="1:3" x14ac:dyDescent="0.2">
      <c r="A152" s="112" t="s">
        <v>1256</v>
      </c>
      <c r="B152" s="4">
        <v>5531</v>
      </c>
    </row>
    <row r="153" spans="1:3" x14ac:dyDescent="0.2">
      <c r="A153" s="95" t="s">
        <v>934</v>
      </c>
      <c r="B153" s="4">
        <v>8355</v>
      </c>
      <c r="C153" s="12" t="str">
        <f t="shared" ref="C153:C163" si="5">IF(A153=A152,"X","")</f>
        <v/>
      </c>
    </row>
    <row r="154" spans="1:3" x14ac:dyDescent="0.2">
      <c r="A154" s="95" t="s">
        <v>751</v>
      </c>
      <c r="B154" s="4">
        <v>5144</v>
      </c>
      <c r="C154" s="12" t="str">
        <f t="shared" si="5"/>
        <v/>
      </c>
    </row>
    <row r="155" spans="1:3" x14ac:dyDescent="0.2">
      <c r="A155" s="113" t="s">
        <v>864</v>
      </c>
      <c r="B155" s="4">
        <v>5322</v>
      </c>
      <c r="C155" s="12" t="str">
        <f t="shared" si="5"/>
        <v/>
      </c>
    </row>
    <row r="156" spans="1:3" x14ac:dyDescent="0.2">
      <c r="A156" s="113" t="s">
        <v>866</v>
      </c>
      <c r="B156" s="4">
        <v>5339</v>
      </c>
      <c r="C156" s="12" t="str">
        <f t="shared" si="5"/>
        <v/>
      </c>
    </row>
    <row r="157" spans="1:3" x14ac:dyDescent="0.2">
      <c r="A157" s="113" t="s">
        <v>862</v>
      </c>
      <c r="B157" s="4">
        <v>5316</v>
      </c>
      <c r="C157" s="12" t="str">
        <f t="shared" si="5"/>
        <v/>
      </c>
    </row>
    <row r="158" spans="1:3" x14ac:dyDescent="0.2">
      <c r="A158" s="113" t="s">
        <v>67</v>
      </c>
      <c r="B158" s="4">
        <v>4417</v>
      </c>
      <c r="C158" s="12" t="str">
        <f t="shared" si="5"/>
        <v/>
      </c>
    </row>
    <row r="159" spans="1:3" x14ac:dyDescent="0.2">
      <c r="A159" s="113" t="s">
        <v>876</v>
      </c>
      <c r="B159" s="4">
        <v>5405</v>
      </c>
      <c r="C159" s="12" t="str">
        <f t="shared" si="5"/>
        <v/>
      </c>
    </row>
    <row r="160" spans="1:3" x14ac:dyDescent="0.2">
      <c r="A160" s="113" t="s">
        <v>637</v>
      </c>
      <c r="B160" s="4">
        <v>12731</v>
      </c>
      <c r="C160" s="12" t="str">
        <f t="shared" si="5"/>
        <v/>
      </c>
    </row>
    <row r="161" spans="1:3" x14ac:dyDescent="0.2">
      <c r="A161" s="113" t="s">
        <v>625</v>
      </c>
      <c r="B161" s="4">
        <v>4736</v>
      </c>
      <c r="C161" s="12" t="str">
        <f t="shared" si="5"/>
        <v/>
      </c>
    </row>
    <row r="162" spans="1:3" x14ac:dyDescent="0.2">
      <c r="A162" s="113" t="s">
        <v>935</v>
      </c>
      <c r="B162" s="4">
        <v>8362</v>
      </c>
      <c r="C162" s="12" t="str">
        <f t="shared" si="5"/>
        <v/>
      </c>
    </row>
    <row r="163" spans="1:3" x14ac:dyDescent="0.2">
      <c r="A163" s="113" t="s">
        <v>645</v>
      </c>
      <c r="B163" s="4">
        <v>12600</v>
      </c>
      <c r="C163" s="12" t="str">
        <f t="shared" si="5"/>
        <v/>
      </c>
    </row>
    <row r="164" spans="1:3" x14ac:dyDescent="0.2">
      <c r="A164" s="96" t="s">
        <v>1258</v>
      </c>
      <c r="B164" s="4">
        <v>9404</v>
      </c>
    </row>
    <row r="165" spans="1:3" x14ac:dyDescent="0.2">
      <c r="A165" s="96" t="s">
        <v>1264</v>
      </c>
      <c r="B165" s="4">
        <v>9414</v>
      </c>
    </row>
    <row r="166" spans="1:3" x14ac:dyDescent="0.2">
      <c r="A166" s="96" t="s">
        <v>1260</v>
      </c>
      <c r="B166" s="4">
        <v>9605</v>
      </c>
    </row>
    <row r="167" spans="1:3" x14ac:dyDescent="0.2">
      <c r="A167" s="96" t="s">
        <v>1266</v>
      </c>
      <c r="B167" s="4">
        <v>173</v>
      </c>
    </row>
    <row r="168" spans="1:3" x14ac:dyDescent="0.2">
      <c r="A168" s="96" t="s">
        <v>1268</v>
      </c>
      <c r="B168" s="4">
        <v>106</v>
      </c>
    </row>
  </sheetData>
  <autoFilter ref="A1:B168" xr:uid="{00000000-0009-0000-0000-000001000000}"/>
  <sortState xmlns:xlrd2="http://schemas.microsoft.com/office/spreadsheetml/2017/richdata2" ref="A2:B158">
    <sortCondition ref="A2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5"/>
  <sheetViews>
    <sheetView tabSelected="1" workbookViewId="0">
      <pane ySplit="1" topLeftCell="A2" activePane="bottomLeft" state="frozen"/>
      <selection pane="bottomLeft" activeCell="A76" sqref="A76"/>
    </sheetView>
  </sheetViews>
  <sheetFormatPr defaultRowHeight="15" x14ac:dyDescent="0.25"/>
  <cols>
    <col min="1" max="1" width="33.28515625" style="110" bestFit="1" customWidth="1"/>
    <col min="2" max="2" width="23.5703125" style="110" customWidth="1"/>
    <col min="3" max="3" width="14.5703125" style="110" customWidth="1"/>
    <col min="4" max="4" width="26" style="110" customWidth="1"/>
    <col min="5" max="5" width="11.7109375" style="111" customWidth="1"/>
    <col min="6" max="6" width="30.7109375" style="110" bestFit="1" customWidth="1"/>
    <col min="7" max="7" width="25.5703125" style="102" bestFit="1" customWidth="1"/>
    <col min="8" max="16384" width="9.140625" style="102"/>
  </cols>
  <sheetData>
    <row r="1" spans="1:7" ht="15.75" thickBot="1" x14ac:dyDescent="0.3">
      <c r="A1" s="131" t="s">
        <v>964</v>
      </c>
      <c r="B1" s="99" t="s">
        <v>361</v>
      </c>
      <c r="C1" s="100" t="s">
        <v>382</v>
      </c>
      <c r="D1" s="100" t="s">
        <v>377</v>
      </c>
      <c r="E1" s="100" t="s">
        <v>925</v>
      </c>
      <c r="F1" s="100" t="s">
        <v>378</v>
      </c>
      <c r="G1" s="101" t="s">
        <v>926</v>
      </c>
    </row>
    <row r="2" spans="1:7" ht="15.75" thickTop="1" x14ac:dyDescent="0.25">
      <c r="A2" s="128" t="str">
        <f>IFERROR(INDEX('Plano.Vinculacao_Conta.Azul'!$A$1:$B$168,MATCH(Tabela4[[#This Row],[Cod.Reduzido]],'Plano.Vinculacao_Conta.Azul'!$B$1:$B$168,0),MATCH(A$1,'Plano.Vinculacao_Conta.Azul'!$A$1:$B$1,0)),"")</f>
        <v>13º salario</v>
      </c>
      <c r="B2" s="103" t="s">
        <v>80</v>
      </c>
      <c r="C2" s="104">
        <v>218</v>
      </c>
      <c r="D2" s="105" t="s">
        <v>9</v>
      </c>
      <c r="E2" s="106" t="s">
        <v>367</v>
      </c>
      <c r="F2" s="107">
        <v>7</v>
      </c>
      <c r="G2" s="108" t="s">
        <v>364</v>
      </c>
    </row>
    <row r="3" spans="1:7" x14ac:dyDescent="0.25">
      <c r="A3" s="129" t="str">
        <f>IFERROR(INDEX('Plano.Vinculacao_Conta.Azul'!$A$1:$B$168,MATCH(Tabela4[[#This Row],[Cod.Reduzido]],'Plano.Vinculacao_Conta.Azul'!$B$1:$B$168,0),MATCH(A$1,'Plano.Vinculacao_Conta.Azul'!$A$1:$B$1,0)),"")</f>
        <v/>
      </c>
      <c r="B3" s="103" t="s">
        <v>80</v>
      </c>
      <c r="C3" s="104">
        <v>5091</v>
      </c>
      <c r="D3" s="105" t="s">
        <v>124</v>
      </c>
      <c r="E3" s="106" t="s">
        <v>367</v>
      </c>
      <c r="F3" s="107">
        <v>7</v>
      </c>
      <c r="G3" s="108" t="s">
        <v>364</v>
      </c>
    </row>
    <row r="4" spans="1:7" x14ac:dyDescent="0.25">
      <c r="A4" s="129" t="str">
        <f>IFERROR(INDEX('Plano.Vinculacao_Conta.Azul'!$A$1:$B$168,MATCH(Tabela4[[#This Row],[Cod.Reduzido]],'Plano.Vinculacao_Conta.Azul'!$B$1:$B$168,0),MATCH(A$1,'Plano.Vinculacao_Conta.Azul'!$A$1:$B$1,0)),"")</f>
        <v>Agua, Luz e Telefone (Casa 1)</v>
      </c>
      <c r="B4" s="109" t="s">
        <v>517</v>
      </c>
      <c r="C4" s="104">
        <v>5581</v>
      </c>
      <c r="D4" s="105" t="s">
        <v>788</v>
      </c>
      <c r="E4" s="106" t="s">
        <v>888</v>
      </c>
      <c r="F4" s="107">
        <v>5</v>
      </c>
      <c r="G4" s="108" t="s">
        <v>889</v>
      </c>
    </row>
    <row r="5" spans="1:7" x14ac:dyDescent="0.25">
      <c r="A5" s="129" t="str">
        <f>IFERROR(INDEX('Plano.Vinculacao_Conta.Azul'!$A$1:$B$168,MATCH(Tabela4[[#This Row],[Cod.Reduzido]],'Plano.Vinculacao_Conta.Azul'!$B$1:$B$168,0),MATCH(A$1,'Plano.Vinculacao_Conta.Azul'!$A$1:$B$1,0)),"")</f>
        <v>Agua, Luz e Telefone (Casa 2)</v>
      </c>
      <c r="B5" s="109" t="s">
        <v>517</v>
      </c>
      <c r="C5" s="104">
        <v>5501</v>
      </c>
      <c r="D5" s="105" t="s">
        <v>60</v>
      </c>
      <c r="E5" s="106" t="s">
        <v>888</v>
      </c>
      <c r="F5" s="107">
        <v>5</v>
      </c>
      <c r="G5" s="108" t="s">
        <v>890</v>
      </c>
    </row>
    <row r="6" spans="1:7" x14ac:dyDescent="0.25">
      <c r="A6" s="129" t="str">
        <f>IFERROR(INDEX('Plano.Vinculacao_Conta.Azul'!$A$1:$B$168,MATCH(Tabela4[[#This Row],[Cod.Reduzido]],'Plano.Vinculacao_Conta.Azul'!$B$1:$B$168,0),MATCH(A$1,'Plano.Vinculacao_Conta.Azul'!$A$1:$B$1,0)),"")</f>
        <v/>
      </c>
      <c r="B6" s="109" t="s">
        <v>517</v>
      </c>
      <c r="C6" s="104">
        <v>5546</v>
      </c>
      <c r="D6" s="105" t="s">
        <v>798</v>
      </c>
      <c r="E6" s="106" t="s">
        <v>888</v>
      </c>
      <c r="F6" s="107">
        <v>5</v>
      </c>
      <c r="G6" s="108" t="s">
        <v>891</v>
      </c>
    </row>
    <row r="7" spans="1:7" x14ac:dyDescent="0.25">
      <c r="A7" s="129" t="str">
        <f>IFERROR(INDEX('Plano.Vinculacao_Conta.Azul'!$A$1:$B$168,MATCH(Tabela4[[#This Row],[Cod.Reduzido]],'Plano.Vinculacao_Conta.Azul'!$B$1:$B$168,0),MATCH(A$1,'Plano.Vinculacao_Conta.Azul'!$A$1:$B$1,0)),"")</f>
        <v/>
      </c>
      <c r="B7" s="109" t="s">
        <v>517</v>
      </c>
      <c r="C7" s="104">
        <v>5629</v>
      </c>
      <c r="D7" s="105" t="s">
        <v>804</v>
      </c>
      <c r="E7" s="106" t="s">
        <v>888</v>
      </c>
      <c r="F7" s="107">
        <v>5</v>
      </c>
      <c r="G7" s="108" t="s">
        <v>892</v>
      </c>
    </row>
    <row r="8" spans="1:7" x14ac:dyDescent="0.25">
      <c r="A8" s="129" t="str">
        <f>IFERROR(INDEX('Plano.Vinculacao_Conta.Azul'!$A$1:$B$168,MATCH(Tabela4[[#This Row],[Cod.Reduzido]],'Plano.Vinculacao_Conta.Azul'!$B$1:$B$168,0),MATCH(A$1,'Plano.Vinculacao_Conta.Azul'!$A$1:$B$1,0)),"")</f>
        <v/>
      </c>
      <c r="B8" s="109" t="s">
        <v>517</v>
      </c>
      <c r="C8" s="104">
        <v>10056</v>
      </c>
      <c r="D8" s="105" t="s">
        <v>810</v>
      </c>
      <c r="E8" s="106" t="s">
        <v>888</v>
      </c>
      <c r="F8" s="107">
        <v>5</v>
      </c>
      <c r="G8" s="108" t="s">
        <v>893</v>
      </c>
    </row>
    <row r="9" spans="1:7" x14ac:dyDescent="0.25">
      <c r="A9" s="129" t="str">
        <f>IFERROR(INDEX('Plano.Vinculacao_Conta.Azul'!$A$1:$B$168,MATCH(Tabela4[[#This Row],[Cod.Reduzido]],'Plano.Vinculacao_Conta.Azul'!$B$1:$B$168,0),MATCH(A$1,'Plano.Vinculacao_Conta.Azul'!$A$1:$B$1,0)),"")</f>
        <v/>
      </c>
      <c r="B9" s="109" t="s">
        <v>517</v>
      </c>
      <c r="C9" s="104">
        <v>10100</v>
      </c>
      <c r="D9" s="105" t="s">
        <v>816</v>
      </c>
      <c r="E9" s="106" t="s">
        <v>888</v>
      </c>
      <c r="F9" s="107">
        <v>5</v>
      </c>
      <c r="G9" s="108" t="s">
        <v>894</v>
      </c>
    </row>
    <row r="10" spans="1:7" x14ac:dyDescent="0.25">
      <c r="A10" s="129" t="str">
        <f>IFERROR(INDEX('Plano.Vinculacao_Conta.Azul'!$A$1:$B$168,MATCH(Tabela4[[#This Row],[Cod.Reduzido]],'Plano.Vinculacao_Conta.Azul'!$B$1:$B$168,0),MATCH(A$1,'Plano.Vinculacao_Conta.Azul'!$A$1:$B$1,0)),"")</f>
        <v/>
      </c>
      <c r="B10" s="103" t="s">
        <v>517</v>
      </c>
      <c r="C10" s="104">
        <v>10151</v>
      </c>
      <c r="D10" s="105" t="s">
        <v>822</v>
      </c>
      <c r="E10" s="106" t="s">
        <v>888</v>
      </c>
      <c r="F10" s="107">
        <v>5</v>
      </c>
      <c r="G10" s="108" t="s">
        <v>895</v>
      </c>
    </row>
    <row r="11" spans="1:7" x14ac:dyDescent="0.25">
      <c r="A11" s="129" t="str">
        <f>IFERROR(INDEX('Plano.Vinculacao_Conta.Azul'!$A$1:$B$168,MATCH(Tabela4[[#This Row],[Cod.Reduzido]],'Plano.Vinculacao_Conta.Azul'!$B$1:$B$168,0),MATCH(A$1,'Plano.Vinculacao_Conta.Azul'!$A$1:$B$1,0)),"")</f>
        <v/>
      </c>
      <c r="B11" s="109" t="s">
        <v>517</v>
      </c>
      <c r="C11" s="104">
        <v>10205</v>
      </c>
      <c r="D11" s="105" t="s">
        <v>828</v>
      </c>
      <c r="E11" s="106" t="s">
        <v>888</v>
      </c>
      <c r="F11" s="107">
        <v>5</v>
      </c>
      <c r="G11" s="108" t="s">
        <v>896</v>
      </c>
    </row>
    <row r="12" spans="1:7" x14ac:dyDescent="0.25">
      <c r="A12" s="129" t="str">
        <f>IFERROR(INDEX('Plano.Vinculacao_Conta.Azul'!$A$1:$B$168,MATCH(Tabela4[[#This Row],[Cod.Reduzido]],'Plano.Vinculacao_Conta.Azul'!$B$1:$B$168,0),MATCH(A$1,'Plano.Vinculacao_Conta.Azul'!$A$1:$B$1,0)),"")</f>
        <v/>
      </c>
      <c r="B12" s="109" t="s">
        <v>517</v>
      </c>
      <c r="C12" s="104">
        <v>11788</v>
      </c>
      <c r="D12" s="105" t="s">
        <v>834</v>
      </c>
      <c r="E12" s="106" t="s">
        <v>888</v>
      </c>
      <c r="F12" s="107">
        <v>5</v>
      </c>
      <c r="G12" s="108" t="s">
        <v>897</v>
      </c>
    </row>
    <row r="13" spans="1:7" x14ac:dyDescent="0.25">
      <c r="A13" s="129" t="str">
        <f>IFERROR(INDEX('Plano.Vinculacao_Conta.Azul'!$A$1:$B$168,MATCH(Tabela4[[#This Row],[Cod.Reduzido]],'Plano.Vinculacao_Conta.Azul'!$B$1:$B$168,0),MATCH(A$1,'Plano.Vinculacao_Conta.Azul'!$A$1:$B$1,0)),"")</f>
        <v/>
      </c>
      <c r="B13" s="109" t="s">
        <v>517</v>
      </c>
      <c r="C13" s="104">
        <v>11794</v>
      </c>
      <c r="D13" s="105" t="s">
        <v>840</v>
      </c>
      <c r="E13" s="106" t="s">
        <v>888</v>
      </c>
      <c r="F13" s="107">
        <v>5</v>
      </c>
      <c r="G13" s="108" t="s">
        <v>898</v>
      </c>
    </row>
    <row r="14" spans="1:7" x14ac:dyDescent="0.25">
      <c r="A14" s="129" t="str">
        <f>IFERROR(INDEX('Plano.Vinculacao_Conta.Azul'!$A$1:$B$168,MATCH(Tabela4[[#This Row],[Cod.Reduzido]],'Plano.Vinculacao_Conta.Azul'!$B$1:$B$168,0),MATCH(A$1,'Plano.Vinculacao_Conta.Azul'!$A$1:$B$1,0)),"")</f>
        <v/>
      </c>
      <c r="B14" s="109" t="s">
        <v>517</v>
      </c>
      <c r="C14" s="104">
        <v>12470</v>
      </c>
      <c r="D14" s="105" t="s">
        <v>846</v>
      </c>
      <c r="E14" s="106" t="s">
        <v>888</v>
      </c>
      <c r="F14" s="107">
        <v>5</v>
      </c>
      <c r="G14" s="108" t="s">
        <v>899</v>
      </c>
    </row>
    <row r="15" spans="1:7" x14ac:dyDescent="0.25">
      <c r="A15" s="129" t="str">
        <f>IFERROR(INDEX('Plano.Vinculacao_Conta.Azul'!$A$1:$B$168,MATCH(Tabela4[[#This Row],[Cod.Reduzido]],'Plano.Vinculacao_Conta.Azul'!$B$1:$B$168,0),MATCH(A$1,'Plano.Vinculacao_Conta.Azul'!$A$1:$B$1,0)),"")</f>
        <v>Alimentacao de Empregados</v>
      </c>
      <c r="B15" s="103" t="s">
        <v>82</v>
      </c>
      <c r="C15" s="104">
        <v>5121</v>
      </c>
      <c r="D15" s="105" t="s">
        <v>50</v>
      </c>
      <c r="E15" s="106" t="s">
        <v>367</v>
      </c>
      <c r="F15" s="107">
        <v>7</v>
      </c>
      <c r="G15" s="108" t="s">
        <v>364</v>
      </c>
    </row>
    <row r="16" spans="1:7" x14ac:dyDescent="0.25">
      <c r="A16" s="129" t="str">
        <f>IFERROR(INDEX('Plano.Vinculacao_Conta.Azul'!$A$1:$B$168,MATCH(Tabela4[[#This Row],[Cod.Reduzido]],'Plano.Vinculacao_Conta.Azul'!$B$1:$B$168,0),MATCH(A$1,'Plano.Vinculacao_Conta.Azul'!$A$1:$B$1,0)),"")</f>
        <v>Alimentacao e Refeitorio</v>
      </c>
      <c r="B16" s="103" t="s">
        <v>171</v>
      </c>
      <c r="C16" s="104">
        <v>8020</v>
      </c>
      <c r="D16" s="105" t="s">
        <v>774</v>
      </c>
      <c r="E16" s="106" t="s">
        <v>367</v>
      </c>
      <c r="F16" s="107">
        <v>7</v>
      </c>
      <c r="G16" s="108" t="s">
        <v>258</v>
      </c>
    </row>
    <row r="17" spans="1:7" x14ac:dyDescent="0.25">
      <c r="A17" s="129" t="str">
        <f>IFERROR(INDEX('Plano.Vinculacao_Conta.Azul'!$A$1:$B$168,MATCH(Tabela4[[#This Row],[Cod.Reduzido]],'Plano.Vinculacao_Conta.Azul'!$B$1:$B$168,0),MATCH(A$1,'Plano.Vinculacao_Conta.Azul'!$A$1:$B$1,0)),"")</f>
        <v>Aluguel de Bens Moveis - Conferencia</v>
      </c>
      <c r="B17" s="103" t="s">
        <v>673</v>
      </c>
      <c r="C17" s="104">
        <v>8384</v>
      </c>
      <c r="D17" s="105" t="s">
        <v>672</v>
      </c>
      <c r="E17" s="106" t="s">
        <v>313</v>
      </c>
      <c r="F17" s="107">
        <v>4</v>
      </c>
      <c r="G17" s="108" t="s">
        <v>887</v>
      </c>
    </row>
    <row r="18" spans="1:7" x14ac:dyDescent="0.25">
      <c r="A18" s="129" t="str">
        <f>IFERROR(INDEX('Plano.Vinculacao_Conta.Azul'!$A$1:$B$168,MATCH(Tabela4[[#This Row],[Cod.Reduzido]],'Plano.Vinculacao_Conta.Azul'!$B$1:$B$168,0),MATCH(A$1,'Plano.Vinculacao_Conta.Azul'!$A$1:$B$1,0)),"")</f>
        <v>Aluguel de Imoveis - Conferencia</v>
      </c>
      <c r="B18" s="103" t="s">
        <v>671</v>
      </c>
      <c r="C18" s="104">
        <v>8378</v>
      </c>
      <c r="D18" s="105" t="s">
        <v>670</v>
      </c>
      <c r="E18" s="106" t="s">
        <v>313</v>
      </c>
      <c r="F18" s="107">
        <v>4</v>
      </c>
      <c r="G18" s="108" t="s">
        <v>887</v>
      </c>
    </row>
    <row r="19" spans="1:7" x14ac:dyDescent="0.25">
      <c r="A19" s="129" t="str">
        <f>IFERROR(INDEX('Plano.Vinculacao_Conta.Azul'!$A$1:$B$168,MATCH(Tabela4[[#This Row],[Cod.Reduzido]],'Plano.Vinculacao_Conta.Azul'!$B$1:$B$168,0),MATCH(A$1,'Plano.Vinculacao_Conta.Azul'!$A$1:$B$1,0)),"")</f>
        <v>Iptu, seguro e taxas (Casa 1)</v>
      </c>
      <c r="B19" s="109" t="s">
        <v>795</v>
      </c>
      <c r="C19" s="104">
        <v>5598</v>
      </c>
      <c r="D19" s="105" t="s">
        <v>789</v>
      </c>
      <c r="E19" s="106" t="s">
        <v>888</v>
      </c>
      <c r="F19" s="107">
        <v>5</v>
      </c>
      <c r="G19" s="108" t="s">
        <v>889</v>
      </c>
    </row>
    <row r="20" spans="1:7" x14ac:dyDescent="0.25">
      <c r="A20" s="129" t="str">
        <f>IFERROR(INDEX('Plano.Vinculacao_Conta.Azul'!$A$1:$B$168,MATCH(Tabela4[[#This Row],[Cod.Reduzido]],'Plano.Vinculacao_Conta.Azul'!$B$1:$B$168,0),MATCH(A$1,'Plano.Vinculacao_Conta.Azul'!$A$1:$B$1,0)),"")</f>
        <v>Aluguel, Iptu, Seguro e Taxas (Casa 2)</v>
      </c>
      <c r="B20" s="109" t="s">
        <v>795</v>
      </c>
      <c r="C20" s="104">
        <v>5517</v>
      </c>
      <c r="D20" s="105" t="s">
        <v>61</v>
      </c>
      <c r="E20" s="106" t="s">
        <v>888</v>
      </c>
      <c r="F20" s="107">
        <v>5</v>
      </c>
      <c r="G20" s="108" t="s">
        <v>890</v>
      </c>
    </row>
    <row r="21" spans="1:7" x14ac:dyDescent="0.25">
      <c r="A21" s="129" t="str">
        <f>IFERROR(INDEX('Plano.Vinculacao_Conta.Azul'!$A$1:$B$168,MATCH(Tabela4[[#This Row],[Cod.Reduzido]],'Plano.Vinculacao_Conta.Azul'!$B$1:$B$168,0),MATCH(A$1,'Plano.Vinculacao_Conta.Azul'!$A$1:$B$1,0)),"")</f>
        <v/>
      </c>
      <c r="B21" s="109" t="s">
        <v>795</v>
      </c>
      <c r="C21" s="104">
        <v>5552</v>
      </c>
      <c r="D21" s="105" t="s">
        <v>799</v>
      </c>
      <c r="E21" s="106" t="s">
        <v>888</v>
      </c>
      <c r="F21" s="107">
        <v>5</v>
      </c>
      <c r="G21" s="108" t="s">
        <v>891</v>
      </c>
    </row>
    <row r="22" spans="1:7" x14ac:dyDescent="0.25">
      <c r="A22" s="129" t="str">
        <f>IFERROR(INDEX('Plano.Vinculacao_Conta.Azul'!$A$1:$B$168,MATCH(Tabela4[[#This Row],[Cod.Reduzido]],'Plano.Vinculacao_Conta.Azul'!$B$1:$B$168,0),MATCH(A$1,'Plano.Vinculacao_Conta.Azul'!$A$1:$B$1,0)),"")</f>
        <v/>
      </c>
      <c r="B22" s="109" t="s">
        <v>795</v>
      </c>
      <c r="C22" s="104">
        <v>5635</v>
      </c>
      <c r="D22" s="105" t="s">
        <v>805</v>
      </c>
      <c r="E22" s="106" t="s">
        <v>888</v>
      </c>
      <c r="F22" s="107">
        <v>5</v>
      </c>
      <c r="G22" s="108" t="s">
        <v>892</v>
      </c>
    </row>
    <row r="23" spans="1:7" x14ac:dyDescent="0.25">
      <c r="A23" s="129" t="str">
        <f>IFERROR(INDEX('Plano.Vinculacao_Conta.Azul'!$A$1:$B$168,MATCH(Tabela4[[#This Row],[Cod.Reduzido]],'Plano.Vinculacao_Conta.Azul'!$B$1:$B$168,0),MATCH(A$1,'Plano.Vinculacao_Conta.Azul'!$A$1:$B$1,0)),"")</f>
        <v/>
      </c>
      <c r="B23" s="109" t="s">
        <v>795</v>
      </c>
      <c r="C23" s="104">
        <v>10062</v>
      </c>
      <c r="D23" s="105" t="s">
        <v>811</v>
      </c>
      <c r="E23" s="106" t="s">
        <v>888</v>
      </c>
      <c r="F23" s="107">
        <v>5</v>
      </c>
      <c r="G23" s="108" t="s">
        <v>893</v>
      </c>
    </row>
    <row r="24" spans="1:7" x14ac:dyDescent="0.25">
      <c r="A24" s="129" t="str">
        <f>IFERROR(INDEX('Plano.Vinculacao_Conta.Azul'!$A$1:$B$168,MATCH(Tabela4[[#This Row],[Cod.Reduzido]],'Plano.Vinculacao_Conta.Azul'!$B$1:$B$168,0),MATCH(A$1,'Plano.Vinculacao_Conta.Azul'!$A$1:$B$1,0)),"")</f>
        <v/>
      </c>
      <c r="B24" s="109" t="s">
        <v>795</v>
      </c>
      <c r="C24" s="104">
        <v>10116</v>
      </c>
      <c r="D24" s="105" t="s">
        <v>817</v>
      </c>
      <c r="E24" s="106" t="s">
        <v>888</v>
      </c>
      <c r="F24" s="107">
        <v>5</v>
      </c>
      <c r="G24" s="108" t="s">
        <v>894</v>
      </c>
    </row>
    <row r="25" spans="1:7" x14ac:dyDescent="0.25">
      <c r="A25" s="129" t="str">
        <f>IFERROR(INDEX('Plano.Vinculacao_Conta.Azul'!$A$1:$B$168,MATCH(Tabela4[[#This Row],[Cod.Reduzido]],'Plano.Vinculacao_Conta.Azul'!$B$1:$B$168,0),MATCH(A$1,'Plano.Vinculacao_Conta.Azul'!$A$1:$B$1,0)),"")</f>
        <v/>
      </c>
      <c r="B25" s="109" t="s">
        <v>795</v>
      </c>
      <c r="C25" s="104">
        <v>10168</v>
      </c>
      <c r="D25" s="105" t="s">
        <v>823</v>
      </c>
      <c r="E25" s="106" t="s">
        <v>888</v>
      </c>
      <c r="F25" s="107">
        <v>5</v>
      </c>
      <c r="G25" s="108" t="s">
        <v>895</v>
      </c>
    </row>
    <row r="26" spans="1:7" x14ac:dyDescent="0.25">
      <c r="A26" s="129" t="str">
        <f>IFERROR(INDEX('Plano.Vinculacao_Conta.Azul'!$A$1:$B$168,MATCH(Tabela4[[#This Row],[Cod.Reduzido]],'Plano.Vinculacao_Conta.Azul'!$B$1:$B$168,0),MATCH(A$1,'Plano.Vinculacao_Conta.Azul'!$A$1:$B$1,0)),"")</f>
        <v/>
      </c>
      <c r="B26" s="109" t="s">
        <v>795</v>
      </c>
      <c r="C26" s="104">
        <v>10211</v>
      </c>
      <c r="D26" s="105" t="s">
        <v>829</v>
      </c>
      <c r="E26" s="106" t="s">
        <v>888</v>
      </c>
      <c r="F26" s="107">
        <v>5</v>
      </c>
      <c r="G26" s="108" t="s">
        <v>896</v>
      </c>
    </row>
    <row r="27" spans="1:7" x14ac:dyDescent="0.25">
      <c r="A27" s="129" t="str">
        <f>IFERROR(INDEX('Plano.Vinculacao_Conta.Azul'!$A$1:$B$168,MATCH(Tabela4[[#This Row],[Cod.Reduzido]],'Plano.Vinculacao_Conta.Azul'!$B$1:$B$168,0),MATCH(A$1,'Plano.Vinculacao_Conta.Azul'!$A$1:$B$1,0)),"")</f>
        <v/>
      </c>
      <c r="B27" s="109" t="s">
        <v>795</v>
      </c>
      <c r="C27" s="104">
        <v>11802</v>
      </c>
      <c r="D27" s="105" t="s">
        <v>835</v>
      </c>
      <c r="E27" s="106" t="s">
        <v>888</v>
      </c>
      <c r="F27" s="107">
        <v>5</v>
      </c>
      <c r="G27" s="108" t="s">
        <v>897</v>
      </c>
    </row>
    <row r="28" spans="1:7" x14ac:dyDescent="0.25">
      <c r="A28" s="129" t="str">
        <f>IFERROR(INDEX('Plano.Vinculacao_Conta.Azul'!$A$1:$B$168,MATCH(Tabela4[[#This Row],[Cod.Reduzido]],'Plano.Vinculacao_Conta.Azul'!$B$1:$B$168,0),MATCH(A$1,'Plano.Vinculacao_Conta.Azul'!$A$1:$B$1,0)),"")</f>
        <v/>
      </c>
      <c r="B28" s="109" t="s">
        <v>795</v>
      </c>
      <c r="C28" s="104">
        <v>11819</v>
      </c>
      <c r="D28" s="105" t="s">
        <v>841</v>
      </c>
      <c r="E28" s="106" t="s">
        <v>888</v>
      </c>
      <c r="F28" s="107">
        <v>5</v>
      </c>
      <c r="G28" s="108" t="s">
        <v>898</v>
      </c>
    </row>
    <row r="29" spans="1:7" x14ac:dyDescent="0.25">
      <c r="A29" s="129" t="str">
        <f>IFERROR(INDEX('Plano.Vinculacao_Conta.Azul'!$A$1:$B$168,MATCH(Tabela4[[#This Row],[Cod.Reduzido]],'Plano.Vinculacao_Conta.Azul'!$B$1:$B$168,0),MATCH(A$1,'Plano.Vinculacao_Conta.Azul'!$A$1:$B$1,0)),"")</f>
        <v/>
      </c>
      <c r="B29" s="109" t="s">
        <v>795</v>
      </c>
      <c r="C29" s="104">
        <v>12486</v>
      </c>
      <c r="D29" s="105" t="s">
        <v>847</v>
      </c>
      <c r="E29" s="106" t="s">
        <v>888</v>
      </c>
      <c r="F29" s="107">
        <v>5</v>
      </c>
      <c r="G29" s="108" t="s">
        <v>899</v>
      </c>
    </row>
    <row r="30" spans="1:7" x14ac:dyDescent="0.25">
      <c r="A30" s="129" t="str">
        <f>IFERROR(INDEX('Plano.Vinculacao_Conta.Azul'!$A$1:$B$168,MATCH(Tabela4[[#This Row],[Cod.Reduzido]],'Plano.Vinculacao_Conta.Azul'!$B$1:$B$168,0),MATCH(A$1,'Plano.Vinculacao_Conta.Azul'!$A$1:$B$1,0)),"")</f>
        <v>Aparelhos e Equipamentos</v>
      </c>
      <c r="B30" s="109" t="s">
        <v>485</v>
      </c>
      <c r="C30" s="104">
        <v>721</v>
      </c>
      <c r="D30" s="105" t="s">
        <v>484</v>
      </c>
      <c r="E30" s="106" t="s">
        <v>359</v>
      </c>
      <c r="F30" s="107">
        <v>1</v>
      </c>
      <c r="G30" s="108" t="s">
        <v>923</v>
      </c>
    </row>
    <row r="31" spans="1:7" x14ac:dyDescent="0.25">
      <c r="A31" s="129" t="str">
        <f>IFERROR(INDEX('Plano.Vinculacao_Conta.Azul'!$A$1:$B$168,MATCH(Tabela4[[#This Row],[Cod.Reduzido]],'Plano.Vinculacao_Conta.Azul'!$B$1:$B$168,0),MATCH(A$1,'Plano.Vinculacao_Conta.Azul'!$A$1:$B$1,0)),"")</f>
        <v>Aplicativos e Internet</v>
      </c>
      <c r="B31" s="109" t="s">
        <v>773</v>
      </c>
      <c r="C31" s="104">
        <v>7769</v>
      </c>
      <c r="D31" s="105" t="s">
        <v>772</v>
      </c>
      <c r="E31" s="106" t="s">
        <v>367</v>
      </c>
      <c r="F31" s="107">
        <v>7</v>
      </c>
      <c r="G31" s="108" t="s">
        <v>258</v>
      </c>
    </row>
    <row r="32" spans="1:7" x14ac:dyDescent="0.25">
      <c r="A32" s="129" t="str">
        <f>IFERROR(INDEX('Plano.Vinculacao_Conta.Azul'!$A$1:$B$168,MATCH(Tabela4[[#This Row],[Cod.Reduzido]],'Plano.Vinculacao_Conta.Azul'!$B$1:$B$168,0),MATCH(A$1,'Plano.Vinculacao_Conta.Azul'!$A$1:$B$1,0)),"")</f>
        <v>Arrendamento - Cozinha e Bookafe</v>
      </c>
      <c r="B32" s="109" t="s">
        <v>647</v>
      </c>
      <c r="C32" s="104">
        <v>12601</v>
      </c>
      <c r="D32" s="105" t="s">
        <v>646</v>
      </c>
      <c r="E32" s="106" t="s">
        <v>233</v>
      </c>
      <c r="F32" s="107">
        <v>3</v>
      </c>
      <c r="G32" s="108" t="s">
        <v>903</v>
      </c>
    </row>
    <row r="33" spans="1:7" x14ac:dyDescent="0.25">
      <c r="A33" s="129" t="str">
        <f>IFERROR(INDEX('Plano.Vinculacao_Conta.Azul'!$A$1:$B$168,MATCH(Tabela4[[#This Row],[Cod.Reduzido]],'Plano.Vinculacao_Conta.Azul'!$B$1:$B$168,0),MATCH(A$1,'Plano.Vinculacao_Conta.Azul'!$A$1:$B$1,0)),"")</f>
        <v>Assistencia Medica e Odontologica</v>
      </c>
      <c r="B33" s="109" t="s">
        <v>750</v>
      </c>
      <c r="C33" s="104">
        <v>5138</v>
      </c>
      <c r="D33" s="105" t="s">
        <v>51</v>
      </c>
      <c r="E33" s="106" t="s">
        <v>367</v>
      </c>
      <c r="F33" s="107">
        <v>7</v>
      </c>
      <c r="G33" s="108" t="s">
        <v>364</v>
      </c>
    </row>
    <row r="34" spans="1:7" x14ac:dyDescent="0.25">
      <c r="A34" s="129" t="str">
        <f>IFERROR(INDEX('Plano.Vinculacao_Conta.Azul'!$A$1:$B$168,MATCH(Tabela4[[#This Row],[Cod.Reduzido]],'Plano.Vinculacao_Conta.Azul'!$B$1:$B$168,0),MATCH(A$1,'Plano.Vinculacao_Conta.Azul'!$A$1:$B$1,0)),"")</f>
        <v>Auxilio p/ Africa</v>
      </c>
      <c r="B34" s="109" t="s">
        <v>716</v>
      </c>
      <c r="C34" s="104">
        <v>6037</v>
      </c>
      <c r="D34" s="105" t="s">
        <v>49</v>
      </c>
      <c r="E34" s="106" t="s">
        <v>366</v>
      </c>
      <c r="F34" s="107">
        <v>6</v>
      </c>
      <c r="G34" s="108" t="s">
        <v>924</v>
      </c>
    </row>
    <row r="35" spans="1:7" x14ac:dyDescent="0.25">
      <c r="A35" s="129" t="str">
        <f>IFERROR(INDEX('Plano.Vinculacao_Conta.Azul'!$A$1:$B$168,MATCH(Tabela4[[#This Row],[Cod.Reduzido]],'Plano.Vinculacao_Conta.Azul'!$B$1:$B$168,0),MATCH(A$1,'Plano.Vinculacao_Conta.Azul'!$A$1:$B$1,0)),"")</f>
        <v>Auxilio p/ Irmaos Necessitados</v>
      </c>
      <c r="B35" s="109" t="s">
        <v>705</v>
      </c>
      <c r="C35" s="104">
        <v>4802</v>
      </c>
      <c r="D35" s="105" t="s">
        <v>37</v>
      </c>
      <c r="E35" s="106" t="s">
        <v>366</v>
      </c>
      <c r="F35" s="107">
        <v>6</v>
      </c>
      <c r="G35" s="108" t="s">
        <v>366</v>
      </c>
    </row>
    <row r="36" spans="1:7" x14ac:dyDescent="0.25">
      <c r="A36" s="129" t="str">
        <f>IFERROR(INDEX('Plano.Vinculacao_Conta.Azul'!$A$1:$B$168,MATCH(Tabela4[[#This Row],[Cod.Reduzido]],'Plano.Vinculacao_Conta.Azul'!$B$1:$B$168,0),MATCH(A$1,'Plano.Vinculacao_Conta.Azul'!$A$1:$B$1,0)),"")</f>
        <v>Auxilio p/ Tempo Integral e Colportagem</v>
      </c>
      <c r="B36" s="109" t="s">
        <v>706</v>
      </c>
      <c r="C36" s="104">
        <v>4819</v>
      </c>
      <c r="D36" s="105" t="s">
        <v>38</v>
      </c>
      <c r="E36" s="106" t="s">
        <v>366</v>
      </c>
      <c r="F36" s="107">
        <v>6</v>
      </c>
      <c r="G36" s="108" t="s">
        <v>366</v>
      </c>
    </row>
    <row r="37" spans="1:7" x14ac:dyDescent="0.25">
      <c r="A37" s="129" t="str">
        <f>IFERROR(INDEX('Plano.Vinculacao_Conta.Azul'!$A$1:$B$168,MATCH(Tabela4[[#This Row],[Cod.Reduzido]],'Plano.Vinculacao_Conta.Azul'!$B$1:$B$168,0),MATCH(A$1,'Plano.Vinculacao_Conta.Azul'!$A$1:$B$1,0)),"")</f>
        <v>Benfeitorias em Imoveis de Terceiros</v>
      </c>
      <c r="B37" s="109" t="s">
        <v>69</v>
      </c>
      <c r="C37" s="104">
        <v>8237</v>
      </c>
      <c r="D37" s="105" t="s">
        <v>487</v>
      </c>
      <c r="E37" s="106" t="s">
        <v>359</v>
      </c>
      <c r="F37" s="107">
        <v>1</v>
      </c>
      <c r="G37" s="108" t="s">
        <v>905</v>
      </c>
    </row>
    <row r="38" spans="1:7" x14ac:dyDescent="0.25">
      <c r="A38" s="129" t="str">
        <f>IFERROR(INDEX('Plano.Vinculacao_Conta.Azul'!$A$1:$B$168,MATCH(Tabela4[[#This Row],[Cod.Reduzido]],'Plano.Vinculacao_Conta.Azul'!$B$1:$B$168,0),MATCH(A$1,'Plano.Vinculacao_Conta.Azul'!$A$1:$B$1,0)),"")</f>
        <v/>
      </c>
      <c r="B38" s="109" t="s">
        <v>446</v>
      </c>
      <c r="C38" s="104">
        <v>13942</v>
      </c>
      <c r="D38" s="105" t="s">
        <v>445</v>
      </c>
      <c r="E38" s="106" t="s">
        <v>359</v>
      </c>
      <c r="F38" s="107">
        <v>1</v>
      </c>
      <c r="G38" s="108" t="s">
        <v>885</v>
      </c>
    </row>
    <row r="39" spans="1:7" x14ac:dyDescent="0.25">
      <c r="A39" s="129" t="str">
        <f>IFERROR(INDEX('Plano.Vinculacao_Conta.Azul'!$A$1:$B$168,MATCH(Tabela4[[#This Row],[Cod.Reduzido]],'Plano.Vinculacao_Conta.Azul'!$B$1:$B$168,0),MATCH(A$1,'Plano.Vinculacao_Conta.Azul'!$A$1:$B$1,0)),"")</f>
        <v/>
      </c>
      <c r="B39" s="109" t="s">
        <v>446</v>
      </c>
      <c r="C39" s="104">
        <v>12776</v>
      </c>
      <c r="D39" s="105" t="s">
        <v>491</v>
      </c>
      <c r="E39" s="106" t="s">
        <v>359</v>
      </c>
      <c r="F39" s="107">
        <v>1</v>
      </c>
      <c r="G39" s="108" t="s">
        <v>885</v>
      </c>
    </row>
    <row r="40" spans="1:7" x14ac:dyDescent="0.25">
      <c r="A40" s="129" t="str">
        <f>IFERROR(INDEX('Plano.Vinculacao_Conta.Azul'!$A$1:$B$168,MATCH(Tabela4[[#This Row],[Cod.Reduzido]],'Plano.Vinculacao_Conta.Azul'!$B$1:$B$168,0),MATCH(A$1,'Plano.Vinculacao_Conta.Azul'!$A$1:$B$1,0)),"")</f>
        <v>Bookafe Casa 01 - Compras e Mao de Obra</v>
      </c>
      <c r="B40" s="109" t="s">
        <v>446</v>
      </c>
      <c r="C40" s="104">
        <v>12629</v>
      </c>
      <c r="D40" s="105" t="s">
        <v>729</v>
      </c>
      <c r="E40" s="106" t="s">
        <v>366</v>
      </c>
      <c r="F40" s="107">
        <v>6</v>
      </c>
      <c r="G40" s="108" t="s">
        <v>885</v>
      </c>
    </row>
    <row r="41" spans="1:7" x14ac:dyDescent="0.25">
      <c r="A41" s="129" t="str">
        <f>IFERROR(INDEX('Plano.Vinculacao_Conta.Azul'!$A$1:$B$168,MATCH(Tabela4[[#This Row],[Cod.Reduzido]],'Plano.Vinculacao_Conta.Azul'!$B$1:$B$168,0),MATCH(A$1,'Plano.Vinculacao_Conta.Azul'!$A$1:$B$1,0)),"")</f>
        <v/>
      </c>
      <c r="B41" s="109" t="s">
        <v>906</v>
      </c>
      <c r="C41" s="104">
        <v>12888</v>
      </c>
      <c r="D41" s="105" t="s">
        <v>493</v>
      </c>
      <c r="E41" s="106" t="s">
        <v>359</v>
      </c>
      <c r="F41" s="107">
        <v>1</v>
      </c>
      <c r="G41" s="108" t="s">
        <v>885</v>
      </c>
    </row>
    <row r="42" spans="1:7" x14ac:dyDescent="0.25">
      <c r="A42" s="129" t="str">
        <f>IFERROR(INDEX('Plano.Vinculacao_Conta.Azul'!$A$1:$B$168,MATCH(Tabela4[[#This Row],[Cod.Reduzido]],'Plano.Vinculacao_Conta.Azul'!$B$1:$B$168,0),MATCH(A$1,'Plano.Vinculacao_Conta.Azul'!$A$1:$B$1,0)),"")</f>
        <v/>
      </c>
      <c r="B42" s="109" t="s">
        <v>448</v>
      </c>
      <c r="C42" s="104">
        <v>13965</v>
      </c>
      <c r="D42" s="105" t="s">
        <v>447</v>
      </c>
      <c r="E42" s="106" t="s">
        <v>359</v>
      </c>
      <c r="F42" s="107">
        <v>1</v>
      </c>
      <c r="G42" s="108" t="s">
        <v>885</v>
      </c>
    </row>
    <row r="43" spans="1:7" x14ac:dyDescent="0.25">
      <c r="A43" s="129" t="str">
        <f>IFERROR(INDEX('Plano.Vinculacao_Conta.Azul'!$A$1:$B$168,MATCH(Tabela4[[#This Row],[Cod.Reduzido]],'Plano.Vinculacao_Conta.Azul'!$B$1:$B$168,0),MATCH(A$1,'Plano.Vinculacao_Conta.Azul'!$A$1:$B$1,0)),"")</f>
        <v/>
      </c>
      <c r="B43" s="109" t="s">
        <v>448</v>
      </c>
      <c r="C43" s="104">
        <v>13072</v>
      </c>
      <c r="D43" s="105" t="s">
        <v>495</v>
      </c>
      <c r="E43" s="106" t="s">
        <v>359</v>
      </c>
      <c r="F43" s="107">
        <v>1</v>
      </c>
      <c r="G43" s="108" t="s">
        <v>885</v>
      </c>
    </row>
    <row r="44" spans="1:7" x14ac:dyDescent="0.25">
      <c r="A44" s="129" t="str">
        <f>IFERROR(INDEX('Plano.Vinculacao_Conta.Azul'!$A$1:$B$168,MATCH(Tabela4[[#This Row],[Cod.Reduzido]],'Plano.Vinculacao_Conta.Azul'!$B$1:$B$168,0),MATCH(A$1,'Plano.Vinculacao_Conta.Azul'!$A$1:$B$1,0)),"")</f>
        <v/>
      </c>
      <c r="B44" s="109" t="s">
        <v>450</v>
      </c>
      <c r="C44" s="104">
        <v>13959</v>
      </c>
      <c r="D44" s="105" t="s">
        <v>449</v>
      </c>
      <c r="E44" s="106" t="s">
        <v>359</v>
      </c>
      <c r="F44" s="107">
        <v>1</v>
      </c>
      <c r="G44" s="108" t="s">
        <v>885</v>
      </c>
    </row>
    <row r="45" spans="1:7" x14ac:dyDescent="0.25">
      <c r="A45" s="129" t="str">
        <f>IFERROR(INDEX('Plano.Vinculacao_Conta.Azul'!$A$1:$B$168,MATCH(Tabela4[[#This Row],[Cod.Reduzido]],'Plano.Vinculacao_Conta.Azul'!$B$1:$B$168,0),MATCH(A$1,'Plano.Vinculacao_Conta.Azul'!$A$1:$B$1,0)),"")</f>
        <v/>
      </c>
      <c r="B45" s="109" t="s">
        <v>450</v>
      </c>
      <c r="C45" s="104">
        <v>13089</v>
      </c>
      <c r="D45" s="105" t="s">
        <v>497</v>
      </c>
      <c r="E45" s="106" t="s">
        <v>359</v>
      </c>
      <c r="F45" s="107">
        <v>1</v>
      </c>
      <c r="G45" s="108" t="s">
        <v>885</v>
      </c>
    </row>
    <row r="46" spans="1:7" x14ac:dyDescent="0.25">
      <c r="A46" s="129" t="str">
        <f>IFERROR(INDEX('Plano.Vinculacao_Conta.Azul'!$A$1:$B$168,MATCH(Tabela4[[#This Row],[Cod.Reduzido]],'Plano.Vinculacao_Conta.Azul'!$B$1:$B$168,0),MATCH(A$1,'Plano.Vinculacao_Conta.Azul'!$A$1:$B$1,0)),"")</f>
        <v/>
      </c>
      <c r="B46" s="109" t="s">
        <v>907</v>
      </c>
      <c r="C46" s="104">
        <v>13095</v>
      </c>
      <c r="D46" s="105" t="s">
        <v>499</v>
      </c>
      <c r="E46" s="106" t="s">
        <v>359</v>
      </c>
      <c r="F46" s="107">
        <v>1</v>
      </c>
      <c r="G46" s="108" t="s">
        <v>885</v>
      </c>
    </row>
    <row r="47" spans="1:7" x14ac:dyDescent="0.25">
      <c r="A47" s="129" t="str">
        <f>IFERROR(INDEX('Plano.Vinculacao_Conta.Azul'!$A$1:$B$168,MATCH(Tabela4[[#This Row],[Cod.Reduzido]],'Plano.Vinculacao_Conta.Azul'!$B$1:$B$168,0),MATCH(A$1,'Plano.Vinculacao_Conta.Azul'!$A$1:$B$1,0)),"")</f>
        <v/>
      </c>
      <c r="B47" s="103" t="s">
        <v>908</v>
      </c>
      <c r="C47" s="104">
        <v>13103</v>
      </c>
      <c r="D47" s="105" t="s">
        <v>501</v>
      </c>
      <c r="E47" s="106" t="s">
        <v>359</v>
      </c>
      <c r="F47" s="107">
        <v>1</v>
      </c>
      <c r="G47" s="108" t="s">
        <v>885</v>
      </c>
    </row>
    <row r="48" spans="1:7" x14ac:dyDescent="0.25">
      <c r="A48" s="129" t="str">
        <f>IFERROR(INDEX('Plano.Vinculacao_Conta.Azul'!$A$1:$B$168,MATCH(Tabela4[[#This Row],[Cod.Reduzido]],'Plano.Vinculacao_Conta.Azul'!$B$1:$B$168,0),MATCH(A$1,'Plano.Vinculacao_Conta.Azul'!$A$1:$B$1,0)),"")</f>
        <v/>
      </c>
      <c r="B48" s="109" t="s">
        <v>909</v>
      </c>
      <c r="C48" s="104">
        <v>13110</v>
      </c>
      <c r="D48" s="105" t="s">
        <v>503</v>
      </c>
      <c r="E48" s="106" t="s">
        <v>359</v>
      </c>
      <c r="F48" s="107">
        <v>1</v>
      </c>
      <c r="G48" s="108" t="s">
        <v>885</v>
      </c>
    </row>
    <row r="49" spans="1:7" x14ac:dyDescent="0.25">
      <c r="A49" s="129" t="str">
        <f>IFERROR(INDEX('Plano.Vinculacao_Conta.Azul'!$A$1:$B$168,MATCH(Tabela4[[#This Row],[Cod.Reduzido]],'Plano.Vinculacao_Conta.Azul'!$B$1:$B$168,0),MATCH(A$1,'Plano.Vinculacao_Conta.Azul'!$A$1:$B$1,0)),"")</f>
        <v/>
      </c>
      <c r="B49" s="109" t="s">
        <v>910</v>
      </c>
      <c r="C49" s="104">
        <v>13126</v>
      </c>
      <c r="D49" s="105" t="s">
        <v>505</v>
      </c>
      <c r="E49" s="106" t="s">
        <v>359</v>
      </c>
      <c r="F49" s="107">
        <v>1</v>
      </c>
      <c r="G49" s="108" t="s">
        <v>885</v>
      </c>
    </row>
    <row r="50" spans="1:7" x14ac:dyDescent="0.25">
      <c r="A50" s="129" t="str">
        <f>IFERROR(INDEX('Plano.Vinculacao_Conta.Azul'!$A$1:$B$168,MATCH(Tabela4[[#This Row],[Cod.Reduzido]],'Plano.Vinculacao_Conta.Azul'!$B$1:$B$168,0),MATCH(A$1,'Plano.Vinculacao_Conta.Azul'!$A$1:$B$1,0)),"")</f>
        <v/>
      </c>
      <c r="B50" s="103" t="s">
        <v>911</v>
      </c>
      <c r="C50" s="104">
        <v>13132</v>
      </c>
      <c r="D50" s="105" t="s">
        <v>507</v>
      </c>
      <c r="E50" s="106" t="s">
        <v>359</v>
      </c>
      <c r="F50" s="107">
        <v>1</v>
      </c>
      <c r="G50" s="108" t="s">
        <v>885</v>
      </c>
    </row>
    <row r="51" spans="1:7" x14ac:dyDescent="0.25">
      <c r="A51" s="129" t="str">
        <f>IFERROR(INDEX('Plano.Vinculacao_Conta.Azul'!$A$1:$B$168,MATCH(Tabela4[[#This Row],[Cod.Reduzido]],'Plano.Vinculacao_Conta.Azul'!$B$1:$B$168,0),MATCH(A$1,'Plano.Vinculacao_Conta.Azul'!$A$1:$B$1,0)),"")</f>
        <v/>
      </c>
      <c r="B51" s="103" t="s">
        <v>912</v>
      </c>
      <c r="C51" s="104">
        <v>13149</v>
      </c>
      <c r="D51" s="105" t="s">
        <v>509</v>
      </c>
      <c r="E51" s="106" t="s">
        <v>359</v>
      </c>
      <c r="F51" s="107">
        <v>1</v>
      </c>
      <c r="G51" s="108" t="s">
        <v>885</v>
      </c>
    </row>
    <row r="52" spans="1:7" x14ac:dyDescent="0.25">
      <c r="A52" s="129" t="str">
        <f>IFERROR(INDEX('Plano.Vinculacao_Conta.Azul'!$A$1:$B$168,MATCH(Tabela4[[#This Row],[Cod.Reduzido]],'Plano.Vinculacao_Conta.Azul'!$B$1:$B$168,0),MATCH(A$1,'Plano.Vinculacao_Conta.Azul'!$A$1:$B$1,0)),"")</f>
        <v/>
      </c>
      <c r="B52" s="103" t="s">
        <v>452</v>
      </c>
      <c r="C52" s="104">
        <v>13971</v>
      </c>
      <c r="D52" s="105" t="s">
        <v>451</v>
      </c>
      <c r="E52" s="106" t="s">
        <v>359</v>
      </c>
      <c r="F52" s="107">
        <v>1</v>
      </c>
      <c r="G52" s="108" t="s">
        <v>885</v>
      </c>
    </row>
    <row r="53" spans="1:7" x14ac:dyDescent="0.25">
      <c r="A53" s="129" t="str">
        <f>IFERROR(INDEX('Plano.Vinculacao_Conta.Azul'!$A$1:$B$168,MATCH(Tabela4[[#This Row],[Cod.Reduzido]],'Plano.Vinculacao_Conta.Azul'!$B$1:$B$168,0),MATCH(A$1,'Plano.Vinculacao_Conta.Azul'!$A$1:$B$1,0)),"")</f>
        <v/>
      </c>
      <c r="B53" s="103" t="s">
        <v>452</v>
      </c>
      <c r="C53" s="104">
        <v>13155</v>
      </c>
      <c r="D53" s="105" t="s">
        <v>511</v>
      </c>
      <c r="E53" s="106" t="s">
        <v>359</v>
      </c>
      <c r="F53" s="107">
        <v>1</v>
      </c>
      <c r="G53" s="108" t="s">
        <v>885</v>
      </c>
    </row>
    <row r="54" spans="1:7" x14ac:dyDescent="0.25">
      <c r="A54" s="129" t="str">
        <f>IFERROR(INDEX('Plano.Vinculacao_Conta.Azul'!$A$1:$B$168,MATCH(Tabela4[[#This Row],[Cod.Reduzido]],'Plano.Vinculacao_Conta.Azul'!$B$1:$B$168,0),MATCH(A$1,'Plano.Vinculacao_Conta.Azul'!$A$1:$B$1,0)),"")</f>
        <v/>
      </c>
      <c r="B54" s="103" t="s">
        <v>913</v>
      </c>
      <c r="C54" s="104">
        <v>13161</v>
      </c>
      <c r="D54" s="105" t="s">
        <v>513</v>
      </c>
      <c r="E54" s="106" t="s">
        <v>359</v>
      </c>
      <c r="F54" s="107">
        <v>1</v>
      </c>
      <c r="G54" s="108" t="s">
        <v>885</v>
      </c>
    </row>
    <row r="55" spans="1:7" x14ac:dyDescent="0.25">
      <c r="A55" s="129" t="str">
        <f>IFERROR(INDEX('Plano.Vinculacao_Conta.Azul'!$A$1:$B$168,MATCH(Tabela4[[#This Row],[Cod.Reduzido]],'Plano.Vinculacao_Conta.Azul'!$B$1:$B$168,0),MATCH(A$1,'Plano.Vinculacao_Conta.Azul'!$A$1:$B$1,0)),"")</f>
        <v>CEAPE</v>
      </c>
      <c r="B55" s="103" t="s">
        <v>243</v>
      </c>
      <c r="C55" s="104">
        <v>11593</v>
      </c>
      <c r="D55" s="105" t="s">
        <v>728</v>
      </c>
      <c r="E55" s="106" t="s">
        <v>366</v>
      </c>
      <c r="F55" s="107">
        <v>6</v>
      </c>
      <c r="G55" s="108" t="s">
        <v>924</v>
      </c>
    </row>
    <row r="56" spans="1:7" x14ac:dyDescent="0.25">
      <c r="A56" s="129" t="str">
        <f>IFERROR(INDEX('Plano.Vinculacao_Conta.Azul'!$A$1:$B$168,MATCH(Tabela4[[#This Row],[Cod.Reduzido]],'Plano.Vinculacao_Conta.Azul'!$B$1:$B$168,0),MATCH(A$1,'Plano.Vinculacao_Conta.Azul'!$A$1:$B$1,0)),"")</f>
        <v>Combustivel a Servico da Igreja</v>
      </c>
      <c r="B56" s="109" t="s">
        <v>757</v>
      </c>
      <c r="C56" s="104">
        <v>5180</v>
      </c>
      <c r="D56" s="105" t="s">
        <v>57</v>
      </c>
      <c r="E56" s="106" t="s">
        <v>367</v>
      </c>
      <c r="F56" s="107">
        <v>7</v>
      </c>
      <c r="G56" s="108" t="s">
        <v>258</v>
      </c>
    </row>
    <row r="57" spans="1:7" x14ac:dyDescent="0.25">
      <c r="A57" s="129" t="str">
        <f>IFERROR(INDEX('Plano.Vinculacao_Conta.Azul'!$A$1:$B$168,MATCH(Tabela4[[#This Row],[Cod.Reduzido]],'Plano.Vinculacao_Conta.Azul'!$B$1:$B$168,0),MATCH(A$1,'Plano.Vinculacao_Conta.Azul'!$A$1:$B$1,0)),"")</f>
        <v>Combustivel e Locomocao - Conferencia</v>
      </c>
      <c r="B57" s="109" t="s">
        <v>961</v>
      </c>
      <c r="C57" s="104">
        <v>8467</v>
      </c>
      <c r="D57" s="105" t="s">
        <v>688</v>
      </c>
      <c r="E57" s="106" t="s">
        <v>313</v>
      </c>
      <c r="F57" s="107">
        <v>4</v>
      </c>
      <c r="G57" s="108" t="s">
        <v>887</v>
      </c>
    </row>
    <row r="58" spans="1:7" x14ac:dyDescent="0.25">
      <c r="A58" s="129" t="str">
        <f>IFERROR(INDEX('Plano.Vinculacao_Conta.Azul'!$A$1:$B$168,MATCH(Tabela4[[#This Row],[Cod.Reduzido]],'Plano.Vinculacao_Conta.Azul'!$B$1:$B$168,0),MATCH(A$1,'Plano.Vinculacao_Conta.Azul'!$A$1:$B$1,0)),"")</f>
        <v>Conducao e Transporte</v>
      </c>
      <c r="B58" s="109" t="s">
        <v>176</v>
      </c>
      <c r="C58" s="104">
        <v>5211</v>
      </c>
      <c r="D58" s="105" t="s">
        <v>760</v>
      </c>
      <c r="E58" s="106" t="s">
        <v>367</v>
      </c>
      <c r="F58" s="107">
        <v>7</v>
      </c>
      <c r="G58" s="108" t="s">
        <v>258</v>
      </c>
    </row>
    <row r="59" spans="1:7" x14ac:dyDescent="0.25">
      <c r="A59" s="129" t="str">
        <f>IFERROR(INDEX('Plano.Vinculacao_Conta.Azul'!$A$1:$B$168,MATCH(Tabela4[[#This Row],[Cod.Reduzido]],'Plano.Vinculacao_Conta.Azul'!$B$1:$B$168,0),MATCH(A$1,'Plano.Vinculacao_Conta.Azul'!$A$1:$B$1,0)),"")</f>
        <v>Conserto e Manutencao Equipamentos</v>
      </c>
      <c r="B59" s="109" t="s">
        <v>767</v>
      </c>
      <c r="C59" s="104">
        <v>5693</v>
      </c>
      <c r="D59" s="105" t="s">
        <v>766</v>
      </c>
      <c r="E59" s="106" t="s">
        <v>367</v>
      </c>
      <c r="F59" s="107">
        <v>7</v>
      </c>
      <c r="G59" s="108" t="s">
        <v>258</v>
      </c>
    </row>
    <row r="60" spans="1:7" x14ac:dyDescent="0.25">
      <c r="A60" s="129" t="str">
        <f>IFERROR(INDEX('Plano.Vinculacao_Conta.Azul'!$A$1:$B$168,MATCH(Tabela4[[#This Row],[Cod.Reduzido]],'Plano.Vinculacao_Conta.Azul'!$B$1:$B$168,0),MATCH(A$1,'Plano.Vinculacao_Conta.Azul'!$A$1:$B$1,0)),"")</f>
        <v/>
      </c>
      <c r="B60" s="109" t="s">
        <v>914</v>
      </c>
      <c r="C60" s="104">
        <v>7551</v>
      </c>
      <c r="D60" s="105" t="s">
        <v>20</v>
      </c>
      <c r="E60" s="106" t="s">
        <v>367</v>
      </c>
      <c r="F60" s="107">
        <v>7</v>
      </c>
      <c r="G60" s="108" t="s">
        <v>368</v>
      </c>
    </row>
    <row r="61" spans="1:7" x14ac:dyDescent="0.25">
      <c r="A61" s="129" t="str">
        <f>IFERROR(INDEX('Plano.Vinculacao_Conta.Azul'!$A$1:$B$168,MATCH(Tabela4[[#This Row],[Cod.Reduzido]],'Plano.Vinculacao_Conta.Azul'!$B$1:$B$168,0),MATCH(A$1,'Plano.Vinculacao_Conta.Azul'!$A$1:$B$1,0)),"")</f>
        <v/>
      </c>
      <c r="B61" s="109" t="s">
        <v>914</v>
      </c>
      <c r="C61" s="104">
        <v>8941</v>
      </c>
      <c r="D61" s="105" t="s">
        <v>551</v>
      </c>
      <c r="E61" s="106" t="s">
        <v>367</v>
      </c>
      <c r="F61" s="107">
        <v>7</v>
      </c>
      <c r="G61" s="108" t="s">
        <v>368</v>
      </c>
    </row>
    <row r="62" spans="1:7" x14ac:dyDescent="0.25">
      <c r="A62" s="129" t="str">
        <f>IFERROR(INDEX('Plano.Vinculacao_Conta.Azul'!$A$1:$B$168,MATCH(Tabela4[[#This Row],[Cod.Reduzido]],'Plano.Vinculacao_Conta.Azul'!$B$1:$B$168,0),MATCH(A$1,'Plano.Vinculacao_Conta.Azul'!$A$1:$B$1,0)),"")</f>
        <v/>
      </c>
      <c r="B62" s="109" t="s">
        <v>759</v>
      </c>
      <c r="C62" s="104">
        <v>5204</v>
      </c>
      <c r="D62" s="105" t="s">
        <v>758</v>
      </c>
      <c r="E62" s="106" t="s">
        <v>367</v>
      </c>
      <c r="F62" s="107">
        <v>7</v>
      </c>
      <c r="G62" s="108" t="s">
        <v>903</v>
      </c>
    </row>
    <row r="63" spans="1:7" x14ac:dyDescent="0.25">
      <c r="A63" s="129" t="str">
        <f>IFERROR(INDEX('Plano.Vinculacao_Conta.Azul'!$A$1:$B$168,MATCH(Tabela4[[#This Row],[Cod.Reduzido]],'Plano.Vinculacao_Conta.Azul'!$B$1:$B$168,0),MATCH(A$1,'Plano.Vinculacao_Conta.Azul'!$A$1:$B$1,0)),"")</f>
        <v>Copias, Registros e Autenticacoes</v>
      </c>
      <c r="B63" s="109" t="s">
        <v>173</v>
      </c>
      <c r="C63" s="104">
        <v>5671</v>
      </c>
      <c r="D63" s="105" t="s">
        <v>764</v>
      </c>
      <c r="E63" s="106" t="s">
        <v>367</v>
      </c>
      <c r="F63" s="107">
        <v>7</v>
      </c>
      <c r="G63" s="108" t="s">
        <v>258</v>
      </c>
    </row>
    <row r="64" spans="1:7" x14ac:dyDescent="0.25">
      <c r="A64" s="129" t="str">
        <f>IFERROR(INDEX('Plano.Vinculacao_Conta.Azul'!$A$1:$B$168,MATCH(Tabela4[[#This Row],[Cod.Reduzido]],'Plano.Vinculacao_Conta.Azul'!$B$1:$B$168,0),MATCH(A$1,'Plano.Vinculacao_Conta.Azul'!$A$1:$B$1,0)),"")</f>
        <v>Correios e Malotes</v>
      </c>
      <c r="B64" s="103" t="s">
        <v>174</v>
      </c>
      <c r="C64" s="104">
        <v>5196</v>
      </c>
      <c r="D64" s="105" t="s">
        <v>58</v>
      </c>
      <c r="E64" s="106" t="s">
        <v>367</v>
      </c>
      <c r="F64" s="107">
        <v>7</v>
      </c>
      <c r="G64" s="108" t="s">
        <v>258</v>
      </c>
    </row>
    <row r="65" spans="1:7" x14ac:dyDescent="0.25">
      <c r="A65" s="129" t="str">
        <f>IFERROR(INDEX('Plano.Vinculacao_Conta.Azul'!$A$1:$B$168,MATCH(Tabela4[[#This Row],[Cod.Reduzido]],'Plano.Vinculacao_Conta.Azul'!$B$1:$B$168,0),MATCH(A$1,'Plano.Vinculacao_Conta.Azul'!$A$1:$B$1,0)),"")</f>
        <v/>
      </c>
      <c r="B65" s="109" t="s">
        <v>691</v>
      </c>
      <c r="C65" s="104">
        <v>8651</v>
      </c>
      <c r="D65" s="105" t="s">
        <v>690</v>
      </c>
      <c r="E65" s="106" t="s">
        <v>313</v>
      </c>
      <c r="F65" s="107">
        <v>4</v>
      </c>
      <c r="G65" s="108" t="s">
        <v>887</v>
      </c>
    </row>
    <row r="66" spans="1:7" x14ac:dyDescent="0.25">
      <c r="A66" s="129" t="str">
        <f>IFERROR(INDEX('Plano.Vinculacao_Conta.Azul'!$A$1:$B$168,MATCH(Tabela4[[#This Row],[Cod.Reduzido]],'Plano.Vinculacao_Conta.Azul'!$B$1:$B$168,0),MATCH(A$1,'Plano.Vinculacao_Conta.Azul'!$A$1:$B$1,0)),"")</f>
        <v/>
      </c>
      <c r="B66" s="109" t="s">
        <v>691</v>
      </c>
      <c r="C66" s="104">
        <v>5345</v>
      </c>
      <c r="D66" s="105" t="s">
        <v>867</v>
      </c>
      <c r="E66" s="106" t="s">
        <v>962</v>
      </c>
      <c r="F66" s="107">
        <v>8</v>
      </c>
      <c r="G66" s="108" t="s">
        <v>963</v>
      </c>
    </row>
    <row r="67" spans="1:7" x14ac:dyDescent="0.25">
      <c r="A67" s="129" t="str">
        <f>IFERROR(INDEX('Plano.Vinculacao_Conta.Azul'!$A$1:$B$168,MATCH(Tabela4[[#This Row],[Cod.Reduzido]],'Plano.Vinculacao_Conta.Azul'!$B$1:$B$168,0),MATCH(A$1,'Plano.Vinculacao_Conta.Azul'!$A$1:$B$1,0)),"")</f>
        <v>CSRF a Recolher</v>
      </c>
      <c r="B67" s="109" t="s">
        <v>915</v>
      </c>
      <c r="C67" s="104">
        <v>9604</v>
      </c>
      <c r="D67" s="105" t="s">
        <v>17</v>
      </c>
      <c r="E67" s="106" t="s">
        <v>962</v>
      </c>
      <c r="F67" s="107">
        <v>8</v>
      </c>
      <c r="G67" s="108" t="s">
        <v>963</v>
      </c>
    </row>
    <row r="68" spans="1:7" x14ac:dyDescent="0.25">
      <c r="A68" s="129" t="str">
        <f>IFERROR(INDEX('Plano.Vinculacao_Conta.Azul'!$A$1:$B$168,MATCH(Tabela4[[#This Row],[Cod.Reduzido]],'Plano.Vinculacao_Conta.Azul'!$B$1:$B$168,0),MATCH(A$1,'Plano.Vinculacao_Conta.Azul'!$A$1:$B$1,0)),"")</f>
        <v/>
      </c>
      <c r="B68" s="109" t="s">
        <v>916</v>
      </c>
      <c r="C68" s="104">
        <v>7983</v>
      </c>
      <c r="D68" s="105" t="s">
        <v>282</v>
      </c>
      <c r="E68" s="106" t="s">
        <v>962</v>
      </c>
      <c r="F68" s="107">
        <v>8</v>
      </c>
      <c r="G68" s="108" t="s">
        <v>369</v>
      </c>
    </row>
    <row r="69" spans="1:7" x14ac:dyDescent="0.25">
      <c r="A69" s="129" t="str">
        <f>IFERROR(INDEX('Plano.Vinculacao_Conta.Azul'!$A$1:$B$168,MATCH(Tabela4[[#This Row],[Cod.Reduzido]],'Plano.Vinculacao_Conta.Azul'!$B$1:$B$168,0),MATCH(A$1,'Plano.Vinculacao_Conta.Azul'!$A$1:$B$1,0)),"")</f>
        <v>Descontos Obtidos</v>
      </c>
      <c r="B69" s="109" t="s">
        <v>103</v>
      </c>
      <c r="C69" s="104">
        <v>4713</v>
      </c>
      <c r="D69" s="105" t="s">
        <v>32</v>
      </c>
      <c r="E69" s="106" t="s">
        <v>233</v>
      </c>
      <c r="F69" s="107">
        <v>3</v>
      </c>
      <c r="G69" s="108" t="s">
        <v>365</v>
      </c>
    </row>
    <row r="70" spans="1:7" x14ac:dyDescent="0.25">
      <c r="A70" s="129" t="str">
        <f>IFERROR(INDEX('Plano.Vinculacao_Conta.Azul'!$A$1:$B$168,MATCH(Tabela4[[#This Row],[Cod.Reduzido]],'Plano.Vinculacao_Conta.Azul'!$B$1:$B$168,0),MATCH(A$1,'Plano.Vinculacao_Conta.Azul'!$A$1:$B$1,0)),"")</f>
        <v>Despesas de Cobranca</v>
      </c>
      <c r="B70" s="109" t="s">
        <v>917</v>
      </c>
      <c r="C70" s="104">
        <v>7982</v>
      </c>
      <c r="D70" s="105" t="s">
        <v>192</v>
      </c>
      <c r="E70" s="106" t="s">
        <v>962</v>
      </c>
      <c r="F70" s="107">
        <v>8</v>
      </c>
      <c r="G70" s="108" t="s">
        <v>369</v>
      </c>
    </row>
    <row r="71" spans="1:7" x14ac:dyDescent="0.25">
      <c r="A71" s="129" t="str">
        <f>IFERROR(INDEX('Plano.Vinculacao_Conta.Azul'!$A$1:$B$168,MATCH(Tabela4[[#This Row],[Cod.Reduzido]],'Plano.Vinculacao_Conta.Azul'!$B$1:$B$168,0),MATCH(A$1,'Plano.Vinculacao_Conta.Azul'!$A$1:$B$1,0)),"")</f>
        <v/>
      </c>
      <c r="B71" s="109" t="s">
        <v>695</v>
      </c>
      <c r="C71" s="104">
        <v>8705</v>
      </c>
      <c r="D71" s="105" t="s">
        <v>694</v>
      </c>
      <c r="E71" s="106" t="s">
        <v>313</v>
      </c>
      <c r="F71" s="107">
        <v>4</v>
      </c>
      <c r="G71" s="108" t="s">
        <v>887</v>
      </c>
    </row>
    <row r="72" spans="1:7" x14ac:dyDescent="0.25">
      <c r="A72" s="129" t="str">
        <f>IFERROR(INDEX('Plano.Vinculacao_Conta.Azul'!$A$1:$B$168,MATCH(Tabela4[[#This Row],[Cod.Reduzido]],'Plano.Vinculacao_Conta.Azul'!$B$1:$B$168,0),MATCH(A$1,'Plano.Vinculacao_Conta.Azul'!$A$1:$B$1,0)),"")</f>
        <v>Despesas Bancarias</v>
      </c>
      <c r="B72" s="109" t="s">
        <v>695</v>
      </c>
      <c r="C72" s="104">
        <v>5279</v>
      </c>
      <c r="D72" s="105" t="s">
        <v>186</v>
      </c>
      <c r="E72" s="106" t="s">
        <v>962</v>
      </c>
      <c r="F72" s="107">
        <v>8</v>
      </c>
      <c r="G72" s="108" t="s">
        <v>369</v>
      </c>
    </row>
    <row r="73" spans="1:7" x14ac:dyDescent="0.25">
      <c r="A73" s="129" t="str">
        <f>IFERROR(INDEX('Plano.Vinculacao_Conta.Azul'!$A$1:$B$168,MATCH(Tabela4[[#This Row],[Cod.Reduzido]],'Plano.Vinculacao_Conta.Azul'!$B$1:$B$168,0),MATCH(A$1,'Plano.Vinculacao_Conta.Azul'!$A$1:$B$1,0)),"")</f>
        <v>Despesas Diversas</v>
      </c>
      <c r="B73" s="109" t="s">
        <v>317</v>
      </c>
      <c r="C73" s="104">
        <v>5240</v>
      </c>
      <c r="D73" s="105" t="s">
        <v>783</v>
      </c>
      <c r="E73" s="106" t="s">
        <v>367</v>
      </c>
      <c r="F73" s="107">
        <v>7</v>
      </c>
      <c r="G73" s="108" t="s">
        <v>258</v>
      </c>
    </row>
    <row r="74" spans="1:7" x14ac:dyDescent="0.25">
      <c r="A74" s="129" t="str">
        <f>IFERROR(INDEX('Plano.Vinculacao_Conta.Azul'!$A$1:$B$168,MATCH(Tabela4[[#This Row],[Cod.Reduzido]],'Plano.Vinculacao_Conta.Azul'!$B$1:$B$168,0),MATCH(A$1,'Plano.Vinculacao_Conta.Azul'!$A$1:$B$1,0)),"")</f>
        <v>Distribuidora e Livraria Manancial Ltda</v>
      </c>
      <c r="B74" s="109" t="s">
        <v>316</v>
      </c>
      <c r="C74" s="104">
        <v>173</v>
      </c>
      <c r="D74" s="105" t="s">
        <v>338</v>
      </c>
      <c r="E74" s="106" t="s">
        <v>359</v>
      </c>
      <c r="F74" s="107">
        <v>1</v>
      </c>
      <c r="G74" s="108" t="s">
        <v>362</v>
      </c>
    </row>
    <row r="75" spans="1:7" x14ac:dyDescent="0.25">
      <c r="A75" s="139" t="s">
        <v>568</v>
      </c>
      <c r="B75" s="103" t="s">
        <v>568</v>
      </c>
      <c r="C75" s="104">
        <v>4529</v>
      </c>
      <c r="D75" s="105" t="s">
        <v>27</v>
      </c>
      <c r="E75" s="106" t="s">
        <v>241</v>
      </c>
      <c r="F75" s="107">
        <v>2</v>
      </c>
      <c r="G75" s="108" t="s">
        <v>241</v>
      </c>
    </row>
    <row r="76" spans="1:7" x14ac:dyDescent="0.25">
      <c r="A76" s="129" t="str">
        <f>IFERROR(INDEX('Plano.Vinculacao_Conta.Azul'!$A$1:$B$168,MATCH(Tabela4[[#This Row],[Cod.Reduzido]],'Plano.Vinculacao_Conta.Azul'!$B$1:$B$168,0),MATCH(A$1,'Plano.Vinculacao_Conta.Azul'!$A$1:$B$1,0)),"")</f>
        <v/>
      </c>
      <c r="B76" s="109" t="s">
        <v>568</v>
      </c>
      <c r="C76" s="104">
        <v>8154</v>
      </c>
      <c r="D76" s="105" t="s">
        <v>618</v>
      </c>
      <c r="E76" s="106" t="s">
        <v>241</v>
      </c>
      <c r="F76" s="107">
        <v>2</v>
      </c>
      <c r="G76" s="108" t="s">
        <v>241</v>
      </c>
    </row>
    <row r="77" spans="1:7" x14ac:dyDescent="0.25">
      <c r="A77" s="129" t="str">
        <f>IFERROR(INDEX('Plano.Vinculacao_Conta.Azul'!$A$1:$B$168,MATCH(Tabela4[[#This Row],[Cod.Reduzido]],'Plano.Vinculacao_Conta.Azul'!$B$1:$B$168,0),MATCH(A$1,'Plano.Vinculacao_Conta.Azul'!$A$1:$B$1,0)),"")</f>
        <v>Edificacoes</v>
      </c>
      <c r="B77" s="109" t="s">
        <v>66</v>
      </c>
      <c r="C77" s="104">
        <v>691</v>
      </c>
      <c r="D77" s="105" t="s">
        <v>479</v>
      </c>
      <c r="E77" s="106" t="s">
        <v>359</v>
      </c>
      <c r="F77" s="107">
        <v>1</v>
      </c>
      <c r="G77" s="108" t="s">
        <v>923</v>
      </c>
    </row>
    <row r="78" spans="1:7" x14ac:dyDescent="0.25">
      <c r="A78" s="129" t="str">
        <f>IFERROR(INDEX('Plano.Vinculacao_Conta.Azul'!$A$1:$B$168,MATCH(Tabela4[[#This Row],[Cod.Reduzido]],'Plano.Vinculacao_Conta.Azul'!$B$1:$B$168,0),MATCH(A$1,'Plano.Vinculacao_Conta.Azul'!$A$1:$B$1,0)),"")</f>
        <v/>
      </c>
      <c r="B78" s="103" t="s">
        <v>368</v>
      </c>
      <c r="C78" s="104">
        <v>5109</v>
      </c>
      <c r="D78" s="105" t="s">
        <v>126</v>
      </c>
      <c r="E78" s="106" t="s">
        <v>367</v>
      </c>
      <c r="F78" s="107">
        <v>7</v>
      </c>
      <c r="G78" s="108" t="s">
        <v>364</v>
      </c>
    </row>
    <row r="79" spans="1:7" x14ac:dyDescent="0.25">
      <c r="A79" s="129" t="str">
        <f>IFERROR(INDEX('Plano.Vinculacao_Conta.Azul'!$A$1:$B$168,MATCH(Tabela4[[#This Row],[Cod.Reduzido]],'Plano.Vinculacao_Conta.Azul'!$B$1:$B$168,0),MATCH(A$1,'Plano.Vinculacao_Conta.Azul'!$A$1:$B$1,0)),"")</f>
        <v>Equipamentos de Informatica</v>
      </c>
      <c r="B79" s="103" t="s">
        <v>68</v>
      </c>
      <c r="C79" s="104">
        <v>9403</v>
      </c>
      <c r="D79" s="105" t="s">
        <v>488</v>
      </c>
      <c r="E79" s="106" t="s">
        <v>359</v>
      </c>
      <c r="F79" s="107">
        <v>1</v>
      </c>
      <c r="G79" s="108" t="s">
        <v>923</v>
      </c>
    </row>
    <row r="80" spans="1:7" x14ac:dyDescent="0.25">
      <c r="A80" s="129" t="str">
        <f>IFERROR(INDEX('Plano.Vinculacao_Conta.Azul'!$A$1:$B$168,MATCH(Tabela4[[#This Row],[Cod.Reduzido]],'Plano.Vinculacao_Conta.Azul'!$B$1:$B$168,0),MATCH(A$1,'Plano.Vinculacao_Conta.Azul'!$A$1:$B$1,0)),"")</f>
        <v>Estancia Arvore da Vida</v>
      </c>
      <c r="B80" s="103" t="s">
        <v>532</v>
      </c>
      <c r="C80" s="104">
        <v>7717</v>
      </c>
      <c r="D80" s="105" t="s">
        <v>721</v>
      </c>
      <c r="E80" s="106" t="s">
        <v>366</v>
      </c>
      <c r="F80" s="107">
        <v>6</v>
      </c>
      <c r="G80" s="108" t="s">
        <v>366</v>
      </c>
    </row>
    <row r="81" spans="1:7" x14ac:dyDescent="0.25">
      <c r="A81" s="129" t="str">
        <f>IFERROR(INDEX('Plano.Vinculacao_Conta.Azul'!$A$1:$B$168,MATCH(Tabela4[[#This Row],[Cod.Reduzido]],'Plano.Vinculacao_Conta.Azul'!$B$1:$B$168,0),MATCH(A$1,'Plano.Vinculacao_Conta.Azul'!$A$1:$B$1,0)),"")</f>
        <v>Ferias</v>
      </c>
      <c r="B81" s="103" t="s">
        <v>79</v>
      </c>
      <c r="C81" s="104">
        <v>201</v>
      </c>
      <c r="D81" s="105" t="s">
        <v>8</v>
      </c>
      <c r="E81" s="106" t="s">
        <v>367</v>
      </c>
      <c r="F81" s="107">
        <v>7</v>
      </c>
      <c r="G81" s="108" t="s">
        <v>364</v>
      </c>
    </row>
    <row r="82" spans="1:7" x14ac:dyDescent="0.25">
      <c r="A82" s="129" t="str">
        <f>IFERROR(INDEX('Plano.Vinculacao_Conta.Azul'!$A$1:$B$168,MATCH(Tabela4[[#This Row],[Cod.Reduzido]],'Plano.Vinculacao_Conta.Azul'!$B$1:$B$168,0),MATCH(A$1,'Plano.Vinculacao_Conta.Azul'!$A$1:$B$1,0)),"")</f>
        <v/>
      </c>
      <c r="B82" s="103" t="s">
        <v>79</v>
      </c>
      <c r="C82" s="104">
        <v>5084</v>
      </c>
      <c r="D82" s="105" t="s">
        <v>122</v>
      </c>
      <c r="E82" s="106" t="s">
        <v>367</v>
      </c>
      <c r="F82" s="107">
        <v>7</v>
      </c>
      <c r="G82" s="108" t="s">
        <v>364</v>
      </c>
    </row>
    <row r="83" spans="1:7" x14ac:dyDescent="0.25">
      <c r="A83" s="129" t="str">
        <f>IFERROR(INDEX('Plano.Vinculacao_Conta.Azul'!$A$1:$B$168,MATCH(Tabela4[[#This Row],[Cod.Reduzido]],'Plano.Vinculacao_Conta.Azul'!$B$1:$B$168,0),MATCH(A$1,'Plano.Vinculacao_Conta.Azul'!$A$1:$B$1,0)),"")</f>
        <v>FGTS a Recolher</v>
      </c>
      <c r="B83" s="103" t="s">
        <v>74</v>
      </c>
      <c r="C83" s="104">
        <v>1011</v>
      </c>
      <c r="D83" s="105" t="s">
        <v>19</v>
      </c>
      <c r="E83" s="106" t="s">
        <v>367</v>
      </c>
      <c r="F83" s="107">
        <v>7</v>
      </c>
      <c r="G83" s="108" t="s">
        <v>368</v>
      </c>
    </row>
    <row r="84" spans="1:7" x14ac:dyDescent="0.25">
      <c r="A84" s="129" t="str">
        <f>IFERROR(INDEX('Plano.Vinculacao_Conta.Azul'!$A$1:$B$168,MATCH(Tabela4[[#This Row],[Cod.Reduzido]],'Plano.Vinculacao_Conta.Azul'!$B$1:$B$168,0),MATCH(A$1,'Plano.Vinculacao_Conta.Azul'!$A$1:$B$1,0)),"")</f>
        <v>Fretamento de Veiculos - Conferencia</v>
      </c>
      <c r="B84" s="109" t="s">
        <v>675</v>
      </c>
      <c r="C84" s="104">
        <v>8391</v>
      </c>
      <c r="D84" s="105" t="s">
        <v>674</v>
      </c>
      <c r="E84" s="106" t="s">
        <v>313</v>
      </c>
      <c r="F84" s="107">
        <v>4</v>
      </c>
      <c r="G84" s="108" t="s">
        <v>887</v>
      </c>
    </row>
    <row r="85" spans="1:7" x14ac:dyDescent="0.25">
      <c r="A85" s="129" t="str">
        <f>IFERROR(INDEX('Plano.Vinculacao_Conta.Azul'!$A$1:$B$168,MATCH(Tabela4[[#This Row],[Cod.Reduzido]],'Plano.Vinculacao_Conta.Azul'!$B$1:$B$168,0),MATCH(A$1,'Plano.Vinculacao_Conta.Azul'!$A$1:$B$1,0)),"")</f>
        <v>Gastos de Viagem p/ Israel</v>
      </c>
      <c r="B85" s="109" t="s">
        <v>315</v>
      </c>
      <c r="C85" s="104">
        <v>13043</v>
      </c>
      <c r="D85" s="105" t="s">
        <v>731</v>
      </c>
      <c r="E85" s="106" t="s">
        <v>366</v>
      </c>
      <c r="F85" s="107">
        <v>6</v>
      </c>
      <c r="G85" s="108" t="s">
        <v>366</v>
      </c>
    </row>
    <row r="86" spans="1:7" x14ac:dyDescent="0.25">
      <c r="A86" s="129" t="str">
        <f>IFERROR(INDEX('Plano.Vinculacao_Conta.Azul'!$A$1:$B$168,MATCH(Tabela4[[#This Row],[Cod.Reduzido]],'Plano.Vinculacao_Conta.Azul'!$B$1:$B$168,0),MATCH(A$1,'Plano.Vinculacao_Conta.Azul'!$A$1:$B$1,0)),"")</f>
        <v>Higiene e Limpeza (Casa 1)</v>
      </c>
      <c r="B86" s="109" t="s">
        <v>170</v>
      </c>
      <c r="C86" s="104">
        <v>5612</v>
      </c>
      <c r="D86" s="105" t="s">
        <v>793</v>
      </c>
      <c r="E86" s="106" t="s">
        <v>888</v>
      </c>
      <c r="F86" s="107">
        <v>5</v>
      </c>
      <c r="G86" s="108" t="s">
        <v>889</v>
      </c>
    </row>
    <row r="87" spans="1:7" x14ac:dyDescent="0.25">
      <c r="A87" s="129" t="str">
        <f>IFERROR(INDEX('Plano.Vinculacao_Conta.Azul'!$A$1:$B$168,MATCH(Tabela4[[#This Row],[Cod.Reduzido]],'Plano.Vinculacao_Conta.Azul'!$B$1:$B$168,0),MATCH(A$1,'Plano.Vinculacao_Conta.Azul'!$A$1:$B$1,0)),"")</f>
        <v>Higiene e Limpeza (Casa 2)</v>
      </c>
      <c r="B87" s="109" t="s">
        <v>170</v>
      </c>
      <c r="C87" s="104">
        <v>5530</v>
      </c>
      <c r="D87" s="105" t="s">
        <v>63</v>
      </c>
      <c r="E87" s="106" t="s">
        <v>888</v>
      </c>
      <c r="F87" s="107">
        <v>5</v>
      </c>
      <c r="G87" s="108" t="s">
        <v>890</v>
      </c>
    </row>
    <row r="88" spans="1:7" x14ac:dyDescent="0.25">
      <c r="A88" s="129" t="str">
        <f>IFERROR(INDEX('Plano.Vinculacao_Conta.Azul'!$A$1:$B$168,MATCH(Tabela4[[#This Row],[Cod.Reduzido]],'Plano.Vinculacao_Conta.Azul'!$B$1:$B$168,0),MATCH(A$1,'Plano.Vinculacao_Conta.Azul'!$A$1:$B$1,0)),"")</f>
        <v/>
      </c>
      <c r="B88" s="109" t="s">
        <v>170</v>
      </c>
      <c r="C88" s="104">
        <v>5575</v>
      </c>
      <c r="D88" s="105" t="s">
        <v>801</v>
      </c>
      <c r="E88" s="106" t="s">
        <v>888</v>
      </c>
      <c r="F88" s="107">
        <v>5</v>
      </c>
      <c r="G88" s="108" t="s">
        <v>891</v>
      </c>
    </row>
    <row r="89" spans="1:7" x14ac:dyDescent="0.25">
      <c r="A89" s="129" t="str">
        <f>IFERROR(INDEX('Plano.Vinculacao_Conta.Azul'!$A$1:$B$168,MATCH(Tabela4[[#This Row],[Cod.Reduzido]],'Plano.Vinculacao_Conta.Azul'!$B$1:$B$168,0),MATCH(A$1,'Plano.Vinculacao_Conta.Azul'!$A$1:$B$1,0)),"")</f>
        <v/>
      </c>
      <c r="B89" s="103" t="s">
        <v>170</v>
      </c>
      <c r="C89" s="104">
        <v>5658</v>
      </c>
      <c r="D89" s="105" t="s">
        <v>807</v>
      </c>
      <c r="E89" s="106" t="s">
        <v>888</v>
      </c>
      <c r="F89" s="107">
        <v>5</v>
      </c>
      <c r="G89" s="108" t="s">
        <v>892</v>
      </c>
    </row>
    <row r="90" spans="1:7" x14ac:dyDescent="0.25">
      <c r="A90" s="129" t="str">
        <f>IFERROR(INDEX('Plano.Vinculacao_Conta.Azul'!$A$1:$B$168,MATCH(Tabela4[[#This Row],[Cod.Reduzido]],'Plano.Vinculacao_Conta.Azul'!$B$1:$B$168,0),MATCH(A$1,'Plano.Vinculacao_Conta.Azul'!$A$1:$B$1,0)),"")</f>
        <v/>
      </c>
      <c r="B90" s="103" t="s">
        <v>170</v>
      </c>
      <c r="C90" s="104">
        <v>10085</v>
      </c>
      <c r="D90" s="105" t="s">
        <v>813</v>
      </c>
      <c r="E90" s="106" t="s">
        <v>888</v>
      </c>
      <c r="F90" s="107">
        <v>5</v>
      </c>
      <c r="G90" s="108" t="s">
        <v>893</v>
      </c>
    </row>
    <row r="91" spans="1:7" x14ac:dyDescent="0.25">
      <c r="A91" s="129" t="str">
        <f>IFERROR(INDEX('Plano.Vinculacao_Conta.Azul'!$A$1:$B$168,MATCH(Tabela4[[#This Row],[Cod.Reduzido]],'Plano.Vinculacao_Conta.Azul'!$B$1:$B$168,0),MATCH(A$1,'Plano.Vinculacao_Conta.Azul'!$A$1:$B$1,0)),"")</f>
        <v/>
      </c>
      <c r="B91" s="103" t="s">
        <v>170</v>
      </c>
      <c r="C91" s="104">
        <v>10139</v>
      </c>
      <c r="D91" s="105" t="s">
        <v>819</v>
      </c>
      <c r="E91" s="106" t="s">
        <v>888</v>
      </c>
      <c r="F91" s="107">
        <v>5</v>
      </c>
      <c r="G91" s="108" t="s">
        <v>894</v>
      </c>
    </row>
    <row r="92" spans="1:7" x14ac:dyDescent="0.25">
      <c r="A92" s="129" t="str">
        <f>IFERROR(INDEX('Plano.Vinculacao_Conta.Azul'!$A$1:$B$168,MATCH(Tabela4[[#This Row],[Cod.Reduzido]],'Plano.Vinculacao_Conta.Azul'!$B$1:$B$168,0),MATCH(A$1,'Plano.Vinculacao_Conta.Azul'!$A$1:$B$1,0)),"")</f>
        <v/>
      </c>
      <c r="B92" s="109" t="s">
        <v>170</v>
      </c>
      <c r="C92" s="104">
        <v>10181</v>
      </c>
      <c r="D92" s="105" t="s">
        <v>825</v>
      </c>
      <c r="E92" s="106" t="s">
        <v>888</v>
      </c>
      <c r="F92" s="107">
        <v>5</v>
      </c>
      <c r="G92" s="108" t="s">
        <v>895</v>
      </c>
    </row>
    <row r="93" spans="1:7" x14ac:dyDescent="0.25">
      <c r="A93" s="129" t="str">
        <f>IFERROR(INDEX('Plano.Vinculacao_Conta.Azul'!$A$1:$B$168,MATCH(Tabela4[[#This Row],[Cod.Reduzido]],'Plano.Vinculacao_Conta.Azul'!$B$1:$B$168,0),MATCH(A$1,'Plano.Vinculacao_Conta.Azul'!$A$1:$B$1,0)),"")</f>
        <v/>
      </c>
      <c r="B93" s="109" t="s">
        <v>170</v>
      </c>
      <c r="C93" s="104">
        <v>10234</v>
      </c>
      <c r="D93" s="105" t="s">
        <v>831</v>
      </c>
      <c r="E93" s="106" t="s">
        <v>888</v>
      </c>
      <c r="F93" s="107">
        <v>5</v>
      </c>
      <c r="G93" s="108" t="s">
        <v>896</v>
      </c>
    </row>
    <row r="94" spans="1:7" x14ac:dyDescent="0.25">
      <c r="A94" s="129" t="str">
        <f>IFERROR(INDEX('Plano.Vinculacao_Conta.Azul'!$A$1:$B$168,MATCH(Tabela4[[#This Row],[Cod.Reduzido]],'Plano.Vinculacao_Conta.Azul'!$B$1:$B$168,0),MATCH(A$1,'Plano.Vinculacao_Conta.Azul'!$A$1:$B$1,0)),"")</f>
        <v/>
      </c>
      <c r="B94" s="109" t="s">
        <v>170</v>
      </c>
      <c r="C94" s="104">
        <v>11848</v>
      </c>
      <c r="D94" s="105" t="s">
        <v>837</v>
      </c>
      <c r="E94" s="106" t="s">
        <v>888</v>
      </c>
      <c r="F94" s="107">
        <v>5</v>
      </c>
      <c r="G94" s="108" t="s">
        <v>897</v>
      </c>
    </row>
    <row r="95" spans="1:7" x14ac:dyDescent="0.25">
      <c r="A95" s="129" t="str">
        <f>IFERROR(INDEX('Plano.Vinculacao_Conta.Azul'!$A$1:$B$168,MATCH(Tabela4[[#This Row],[Cod.Reduzido]],'Plano.Vinculacao_Conta.Azul'!$B$1:$B$168,0),MATCH(A$1,'Plano.Vinculacao_Conta.Azul'!$A$1:$B$1,0)),"")</f>
        <v/>
      </c>
      <c r="B95" s="109" t="s">
        <v>170</v>
      </c>
      <c r="C95" s="104">
        <v>11854</v>
      </c>
      <c r="D95" s="105" t="s">
        <v>843</v>
      </c>
      <c r="E95" s="106" t="s">
        <v>888</v>
      </c>
      <c r="F95" s="107">
        <v>5</v>
      </c>
      <c r="G95" s="108" t="s">
        <v>898</v>
      </c>
    </row>
    <row r="96" spans="1:7" x14ac:dyDescent="0.25">
      <c r="A96" s="129" t="str">
        <f>IFERROR(INDEX('Plano.Vinculacao_Conta.Azul'!$A$1:$B$168,MATCH(Tabela4[[#This Row],[Cod.Reduzido]],'Plano.Vinculacao_Conta.Azul'!$B$1:$B$168,0),MATCH(A$1,'Plano.Vinculacao_Conta.Azul'!$A$1:$B$1,0)),"")</f>
        <v/>
      </c>
      <c r="B96" s="109" t="s">
        <v>170</v>
      </c>
      <c r="C96" s="104">
        <v>12501</v>
      </c>
      <c r="D96" s="105" t="s">
        <v>849</v>
      </c>
      <c r="E96" s="106" t="s">
        <v>888</v>
      </c>
      <c r="F96" s="107">
        <v>5</v>
      </c>
      <c r="G96" s="108" t="s">
        <v>899</v>
      </c>
    </row>
    <row r="97" spans="1:7" x14ac:dyDescent="0.25">
      <c r="A97" s="129" t="str">
        <f>IFERROR(INDEX('Plano.Vinculacao_Conta.Azul'!$A$1:$B$168,MATCH(Tabela4[[#This Row],[Cod.Reduzido]],'Plano.Vinculacao_Conta.Azul'!$B$1:$B$168,0),MATCH(A$1,'Plano.Vinculacao_Conta.Azul'!$A$1:$B$1,0)),"")</f>
        <v>Hugo Pereira Filho - Emprestimo</v>
      </c>
      <c r="B97" s="103" t="s">
        <v>928</v>
      </c>
      <c r="C97" s="104">
        <v>176</v>
      </c>
      <c r="D97" s="105" t="s">
        <v>339</v>
      </c>
      <c r="E97" s="106" t="s">
        <v>359</v>
      </c>
      <c r="F97" s="107">
        <v>1</v>
      </c>
      <c r="G97" s="108" t="s">
        <v>362</v>
      </c>
    </row>
    <row r="98" spans="1:7" x14ac:dyDescent="0.25">
      <c r="A98" s="129" t="str">
        <f>IFERROR(INDEX('Plano.Vinculacao_Conta.Azul'!$A$1:$B$168,MATCH(Tabela4[[#This Row],[Cod.Reduzido]],'Plano.Vinculacao_Conta.Azul'!$B$1:$B$168,0),MATCH(A$1,'Plano.Vinculacao_Conta.Azul'!$A$1:$B$1,0)),"")</f>
        <v>Inscricoes de Conferencias</v>
      </c>
      <c r="B98" s="109" t="s">
        <v>931</v>
      </c>
      <c r="C98" s="104">
        <v>8349</v>
      </c>
      <c r="D98" s="105" t="s">
        <v>657</v>
      </c>
      <c r="E98" s="106" t="s">
        <v>313</v>
      </c>
      <c r="F98" s="107">
        <v>4</v>
      </c>
      <c r="G98" s="108" t="s">
        <v>886</v>
      </c>
    </row>
    <row r="99" spans="1:7" x14ac:dyDescent="0.25">
      <c r="A99" s="129" t="str">
        <f>IFERROR(INDEX('Plano.Vinculacao_Conta.Azul'!$A$1:$B$168,MATCH(Tabela4[[#This Row],[Cod.Reduzido]],'Plano.Vinculacao_Conta.Azul'!$B$1:$B$168,0),MATCH(A$1,'Plano.Vinculacao_Conta.Azul'!$A$1:$B$1,0)),"")</f>
        <v>Inscricoes Outras Igrejas - Conferencias</v>
      </c>
      <c r="B99" s="109" t="s">
        <v>918</v>
      </c>
      <c r="C99" s="104">
        <v>8361</v>
      </c>
      <c r="D99" s="105" t="s">
        <v>661</v>
      </c>
      <c r="E99" s="106" t="s">
        <v>313</v>
      </c>
      <c r="F99" s="107">
        <v>4</v>
      </c>
      <c r="G99" s="108" t="s">
        <v>886</v>
      </c>
    </row>
    <row r="100" spans="1:7" x14ac:dyDescent="0.25">
      <c r="A100" s="129" t="str">
        <f>IFERROR(INDEX('Plano.Vinculacao_Conta.Azul'!$A$1:$B$168,MATCH(Tabela4[[#This Row],[Cod.Reduzido]],'Plano.Vinculacao_Conta.Azul'!$B$1:$B$168,0),MATCH(A$1,'Plano.Vinculacao_Conta.Azul'!$A$1:$B$1,0)),"")</f>
        <v>Inscricoes p/ Reunioes Especiais</v>
      </c>
      <c r="B100" s="109" t="s">
        <v>629</v>
      </c>
      <c r="C100" s="104">
        <v>4742</v>
      </c>
      <c r="D100" s="105" t="s">
        <v>628</v>
      </c>
      <c r="E100" s="106" t="s">
        <v>233</v>
      </c>
      <c r="F100" s="107">
        <v>3</v>
      </c>
      <c r="G100" s="108" t="s">
        <v>708</v>
      </c>
    </row>
    <row r="101" spans="1:7" x14ac:dyDescent="0.25">
      <c r="A101" s="129" t="str">
        <f>IFERROR(INDEX('Plano.Vinculacao_Conta.Azul'!$A$1:$B$168,MATCH(Tabela4[[#This Row],[Cod.Reduzido]],'Plano.Vinculacao_Conta.Azul'!$B$1:$B$168,0),MATCH(A$1,'Plano.Vinculacao_Conta.Azul'!$A$1:$B$1,0)),"")</f>
        <v>INSS a Recolher</v>
      </c>
      <c r="B101" s="109" t="s">
        <v>73</v>
      </c>
      <c r="C101" s="104">
        <v>1005</v>
      </c>
      <c r="D101" s="105" t="s">
        <v>18</v>
      </c>
      <c r="E101" s="106" t="s">
        <v>367</v>
      </c>
      <c r="F101" s="107">
        <v>7</v>
      </c>
      <c r="G101" s="108" t="s">
        <v>368</v>
      </c>
    </row>
    <row r="102" spans="1:7" x14ac:dyDescent="0.25">
      <c r="A102" s="129" t="str">
        <f>IFERROR(INDEX('Plano.Vinculacao_Conta.Azul'!$A$1:$B$168,MATCH(Tabela4[[#This Row],[Cod.Reduzido]],'Plano.Vinculacao_Conta.Azul'!$B$1:$B$168,0),MATCH(A$1,'Plano.Vinculacao_Conta.Azul'!$A$1:$B$1,0)),"")</f>
        <v>INSS Retido a Recolher</v>
      </c>
      <c r="B102" s="103" t="s">
        <v>381</v>
      </c>
      <c r="C102" s="104">
        <v>9484</v>
      </c>
      <c r="D102" s="105" t="s">
        <v>16</v>
      </c>
      <c r="E102" s="106" t="s">
        <v>962</v>
      </c>
      <c r="F102" s="107">
        <v>8</v>
      </c>
      <c r="G102" s="108" t="s">
        <v>963</v>
      </c>
    </row>
    <row r="103" spans="1:7" x14ac:dyDescent="0.25">
      <c r="A103" s="129" t="str">
        <f>IFERROR(INDEX('Plano.Vinculacao_Conta.Azul'!$A$1:$B$168,MATCH(Tabela4[[#This Row],[Cod.Reduzido]],'Plano.Vinculacao_Conta.Azul'!$B$1:$B$168,0),MATCH(A$1,'Plano.Vinculacao_Conta.Azul'!$A$1:$B$1,0)),"")</f>
        <v>Instalacoes</v>
      </c>
      <c r="B103" s="103" t="s">
        <v>481</v>
      </c>
      <c r="C103" s="104">
        <v>709</v>
      </c>
      <c r="D103" s="105" t="s">
        <v>480</v>
      </c>
      <c r="E103" s="106" t="s">
        <v>359</v>
      </c>
      <c r="F103" s="107">
        <v>1</v>
      </c>
      <c r="G103" s="108" t="s">
        <v>923</v>
      </c>
    </row>
    <row r="104" spans="1:7" x14ac:dyDescent="0.25">
      <c r="A104" s="129" t="str">
        <f>IFERROR(INDEX('Plano.Vinculacao_Conta.Azul'!$A$1:$B$168,MATCH(Tabela4[[#This Row],[Cod.Reduzido]],'Plano.Vinculacao_Conta.Azul'!$B$1:$B$168,0),MATCH(A$1,'Plano.Vinculacao_Conta.Azul'!$A$1:$B$1,0)),"")</f>
        <v>Instituto Vida Para Todos</v>
      </c>
      <c r="B104" s="109" t="s">
        <v>727</v>
      </c>
      <c r="C104" s="104">
        <v>9410</v>
      </c>
      <c r="D104" s="105" t="s">
        <v>726</v>
      </c>
      <c r="E104" s="106" t="s">
        <v>366</v>
      </c>
      <c r="F104" s="107">
        <v>6</v>
      </c>
      <c r="G104" s="108" t="s">
        <v>924</v>
      </c>
    </row>
    <row r="105" spans="1:7" x14ac:dyDescent="0.25">
      <c r="A105" s="129" t="str">
        <f>IFERROR(INDEX('Plano.Vinculacao_Conta.Azul'!$A$1:$B$168,MATCH(Tabela4[[#This Row],[Cod.Reduzido]],'Plano.Vinculacao_Conta.Azul'!$B$1:$B$168,0),MATCH(A$1,'Plano.Vinculacao_Conta.Azul'!$A$1:$B$1,0)),"")</f>
        <v>IRRF a Recolher</v>
      </c>
      <c r="B105" s="109" t="s">
        <v>70</v>
      </c>
      <c r="C105" s="104">
        <v>981</v>
      </c>
      <c r="D105" s="105" t="s">
        <v>13</v>
      </c>
      <c r="E105" s="106" t="s">
        <v>962</v>
      </c>
      <c r="F105" s="107">
        <v>8</v>
      </c>
      <c r="G105" s="108" t="s">
        <v>963</v>
      </c>
    </row>
    <row r="106" spans="1:7" x14ac:dyDescent="0.25">
      <c r="A106" s="129" t="str">
        <f>IFERROR(INDEX('Plano.Vinculacao_Conta.Azul'!$A$1:$B$168,MATCH(Tabela4[[#This Row],[Cod.Reduzido]],'Plano.Vinculacao_Conta.Azul'!$B$1:$B$168,0),MATCH(A$1,'Plano.Vinculacao_Conta.Azul'!$A$1:$B$1,0)),"")</f>
        <v>ISS Retido a Recolher</v>
      </c>
      <c r="B106" s="103" t="s">
        <v>546</v>
      </c>
      <c r="C106" s="104">
        <v>9308</v>
      </c>
      <c r="D106" s="105" t="s">
        <v>15</v>
      </c>
      <c r="E106" s="106" t="s">
        <v>962</v>
      </c>
      <c r="F106" s="107">
        <v>8</v>
      </c>
      <c r="G106" s="108" t="s">
        <v>963</v>
      </c>
    </row>
    <row r="107" spans="1:7" x14ac:dyDescent="0.25">
      <c r="A107" s="129" t="str">
        <f>IFERROR(INDEX('Plano.Vinculacao_Conta.Azul'!$A$1:$B$168,MATCH(Tabela4[[#This Row],[Cod.Reduzido]],'Plano.Vinculacao_Conta.Azul'!$B$1:$B$168,0),MATCH(A$1,'Plano.Vinculacao_Conta.Azul'!$A$1:$B$1,0)),"")</f>
        <v>Jornal Arvore da Vida</v>
      </c>
      <c r="B107" s="103" t="s">
        <v>723</v>
      </c>
      <c r="C107" s="104">
        <v>7752</v>
      </c>
      <c r="D107" s="105" t="s">
        <v>722</v>
      </c>
      <c r="E107" s="106" t="s">
        <v>366</v>
      </c>
      <c r="F107" s="107">
        <v>6</v>
      </c>
      <c r="G107" s="108" t="s">
        <v>366</v>
      </c>
    </row>
    <row r="108" spans="1:7" x14ac:dyDescent="0.25">
      <c r="A108" s="129" t="str">
        <f>IFERROR(INDEX('Plano.Vinculacao_Conta.Azul'!$A$1:$B$168,MATCH(Tabela4[[#This Row],[Cod.Reduzido]],'Plano.Vinculacao_Conta.Azul'!$B$1:$B$168,0),MATCH(A$1,'Plano.Vinculacao_Conta.Azul'!$A$1:$B$1,0)),"")</f>
        <v>Juros e Multas</v>
      </c>
      <c r="B108" s="103" t="s">
        <v>853</v>
      </c>
      <c r="C108" s="104">
        <v>5291</v>
      </c>
      <c r="D108" s="105" t="s">
        <v>188</v>
      </c>
      <c r="E108" s="106" t="s">
        <v>962</v>
      </c>
      <c r="F108" s="107">
        <v>8</v>
      </c>
      <c r="G108" s="108" t="s">
        <v>369</v>
      </c>
    </row>
    <row r="109" spans="1:7" x14ac:dyDescent="0.25">
      <c r="A109" s="129" t="str">
        <f>IFERROR(INDEX('Plano.Vinculacao_Conta.Azul'!$A$1:$B$168,MATCH(Tabela4[[#This Row],[Cod.Reduzido]],'Plano.Vinculacao_Conta.Azul'!$B$1:$B$168,0),MATCH(A$1,'Plano.Vinculacao_Conta.Azul'!$A$1:$B$1,0)),"")</f>
        <v>Juros Recebidos</v>
      </c>
      <c r="B109" s="103" t="s">
        <v>104</v>
      </c>
      <c r="C109" s="104">
        <v>4771</v>
      </c>
      <c r="D109" s="105" t="s">
        <v>33</v>
      </c>
      <c r="E109" s="106" t="s">
        <v>233</v>
      </c>
      <c r="F109" s="107">
        <v>3</v>
      </c>
      <c r="G109" s="108" t="s">
        <v>365</v>
      </c>
    </row>
    <row r="110" spans="1:7" x14ac:dyDescent="0.25">
      <c r="A110" s="129" t="str">
        <f>IFERROR(INDEX('Plano.Vinculacao_Conta.Azul'!$A$1:$B$168,MATCH(Tabela4[[#This Row],[Cod.Reduzido]],'Plano.Vinculacao_Conta.Azul'!$B$1:$B$168,0),MATCH(A$1,'Plano.Vinculacao_Conta.Azul'!$A$1:$B$1,0)),"")</f>
        <v>Manutecao Alojamento EAV</v>
      </c>
      <c r="B110" s="103" t="s">
        <v>771</v>
      </c>
      <c r="C110" s="104">
        <v>6787</v>
      </c>
      <c r="D110" s="105" t="s">
        <v>770</v>
      </c>
      <c r="E110" s="106" t="s">
        <v>367</v>
      </c>
      <c r="F110" s="107">
        <v>7</v>
      </c>
      <c r="G110" s="108" t="s">
        <v>258</v>
      </c>
    </row>
    <row r="111" spans="1:7" x14ac:dyDescent="0.25">
      <c r="A111" s="129" t="str">
        <f>IFERROR(INDEX('Plano.Vinculacao_Conta.Azul'!$A$1:$B$168,MATCH(Tabela4[[#This Row],[Cod.Reduzido]],'Plano.Vinculacao_Conta.Azul'!$B$1:$B$168,0),MATCH(A$1,'Plano.Vinculacao_Conta.Azul'!$A$1:$B$1,0)),"")</f>
        <v>Manutencao de Veiculos</v>
      </c>
      <c r="B111" s="103" t="s">
        <v>181</v>
      </c>
      <c r="C111" s="104">
        <v>13008</v>
      </c>
      <c r="D111" s="105" t="s">
        <v>778</v>
      </c>
      <c r="E111" s="106" t="s">
        <v>367</v>
      </c>
      <c r="F111" s="107">
        <v>7</v>
      </c>
      <c r="G111" s="108" t="s">
        <v>258</v>
      </c>
    </row>
    <row r="112" spans="1:7" x14ac:dyDescent="0.25">
      <c r="A112" s="129" t="str">
        <f>IFERROR(INDEX('Plano.Vinculacao_Conta.Azul'!$A$1:$B$168,MATCH(Tabela4[[#This Row],[Cod.Reduzido]],'Plano.Vinculacao_Conta.Azul'!$B$1:$B$168,0),MATCH(A$1,'Plano.Vinculacao_Conta.Azul'!$A$1:$B$1,0)),"")</f>
        <v>Manutencao e Reparos (Casa 1)</v>
      </c>
      <c r="B112" s="103" t="s">
        <v>792</v>
      </c>
      <c r="C112" s="104">
        <v>5606</v>
      </c>
      <c r="D112" s="105" t="s">
        <v>791</v>
      </c>
      <c r="E112" s="106" t="s">
        <v>888</v>
      </c>
      <c r="F112" s="107">
        <v>5</v>
      </c>
      <c r="G112" s="108" t="s">
        <v>889</v>
      </c>
    </row>
    <row r="113" spans="1:7" x14ac:dyDescent="0.25">
      <c r="A113" s="129" t="str">
        <f>IFERROR(INDEX('Plano.Vinculacao_Conta.Azul'!$A$1:$B$168,MATCH(Tabela4[[#This Row],[Cod.Reduzido]],'Plano.Vinculacao_Conta.Azul'!$B$1:$B$168,0),MATCH(A$1,'Plano.Vinculacao_Conta.Azul'!$A$1:$B$1,0)),"")</f>
        <v>Manutencao e Reparos (Casa 2)</v>
      </c>
      <c r="B113" s="109" t="s">
        <v>792</v>
      </c>
      <c r="C113" s="104">
        <v>5523</v>
      </c>
      <c r="D113" s="105" t="s">
        <v>62</v>
      </c>
      <c r="E113" s="106" t="s">
        <v>888</v>
      </c>
      <c r="F113" s="107">
        <v>5</v>
      </c>
      <c r="G113" s="108" t="s">
        <v>890</v>
      </c>
    </row>
    <row r="114" spans="1:7" x14ac:dyDescent="0.25">
      <c r="A114" s="129" t="str">
        <f>IFERROR(INDEX('Plano.Vinculacao_Conta.Azul'!$A$1:$B$168,MATCH(Tabela4[[#This Row],[Cod.Reduzido]],'Plano.Vinculacao_Conta.Azul'!$B$1:$B$168,0),MATCH(A$1,'Plano.Vinculacao_Conta.Azul'!$A$1:$B$1,0)),"")</f>
        <v/>
      </c>
      <c r="B114" s="109" t="s">
        <v>792</v>
      </c>
      <c r="C114" s="104">
        <v>5569</v>
      </c>
      <c r="D114" s="105" t="s">
        <v>800</v>
      </c>
      <c r="E114" s="106" t="s">
        <v>888</v>
      </c>
      <c r="F114" s="107">
        <v>5</v>
      </c>
      <c r="G114" s="108" t="s">
        <v>891</v>
      </c>
    </row>
    <row r="115" spans="1:7" x14ac:dyDescent="0.25">
      <c r="A115" s="129" t="str">
        <f>IFERROR(INDEX('Plano.Vinculacao_Conta.Azul'!$A$1:$B$168,MATCH(Tabela4[[#This Row],[Cod.Reduzido]],'Plano.Vinculacao_Conta.Azul'!$B$1:$B$168,0),MATCH(A$1,'Plano.Vinculacao_Conta.Azul'!$A$1:$B$1,0)),"")</f>
        <v/>
      </c>
      <c r="B115" s="109" t="s">
        <v>792</v>
      </c>
      <c r="C115" s="104">
        <v>5641</v>
      </c>
      <c r="D115" s="105" t="s">
        <v>806</v>
      </c>
      <c r="E115" s="106" t="s">
        <v>888</v>
      </c>
      <c r="F115" s="107">
        <v>5</v>
      </c>
      <c r="G115" s="108" t="s">
        <v>892</v>
      </c>
    </row>
    <row r="116" spans="1:7" x14ac:dyDescent="0.25">
      <c r="A116" s="129" t="str">
        <f>IFERROR(INDEX('Plano.Vinculacao_Conta.Azul'!$A$1:$B$168,MATCH(Tabela4[[#This Row],[Cod.Reduzido]],'Plano.Vinculacao_Conta.Azul'!$B$1:$B$168,0),MATCH(A$1,'Plano.Vinculacao_Conta.Azul'!$A$1:$B$1,0)),"")</f>
        <v/>
      </c>
      <c r="B116" s="109" t="s">
        <v>792</v>
      </c>
      <c r="C116" s="104">
        <v>10079</v>
      </c>
      <c r="D116" s="105" t="s">
        <v>812</v>
      </c>
      <c r="E116" s="106" t="s">
        <v>888</v>
      </c>
      <c r="F116" s="107">
        <v>5</v>
      </c>
      <c r="G116" s="108" t="s">
        <v>893</v>
      </c>
    </row>
    <row r="117" spans="1:7" x14ac:dyDescent="0.25">
      <c r="A117" s="129" t="str">
        <f>IFERROR(INDEX('Plano.Vinculacao_Conta.Azul'!$A$1:$B$168,MATCH(Tabela4[[#This Row],[Cod.Reduzido]],'Plano.Vinculacao_Conta.Azul'!$B$1:$B$168,0),MATCH(A$1,'Plano.Vinculacao_Conta.Azul'!$A$1:$B$1,0)),"")</f>
        <v/>
      </c>
      <c r="B117" s="103" t="s">
        <v>792</v>
      </c>
      <c r="C117" s="104">
        <v>10122</v>
      </c>
      <c r="D117" s="105" t="s">
        <v>818</v>
      </c>
      <c r="E117" s="106" t="s">
        <v>888</v>
      </c>
      <c r="F117" s="107">
        <v>5</v>
      </c>
      <c r="G117" s="108" t="s">
        <v>894</v>
      </c>
    </row>
    <row r="118" spans="1:7" x14ac:dyDescent="0.25">
      <c r="A118" s="129" t="str">
        <f>IFERROR(INDEX('Plano.Vinculacao_Conta.Azul'!$A$1:$B$168,MATCH(Tabela4[[#This Row],[Cod.Reduzido]],'Plano.Vinculacao_Conta.Azul'!$B$1:$B$168,0),MATCH(A$1,'Plano.Vinculacao_Conta.Azul'!$A$1:$B$1,0)),"")</f>
        <v/>
      </c>
      <c r="B118" s="109" t="s">
        <v>792</v>
      </c>
      <c r="C118" s="104">
        <v>10174</v>
      </c>
      <c r="D118" s="105" t="s">
        <v>824</v>
      </c>
      <c r="E118" s="106" t="s">
        <v>888</v>
      </c>
      <c r="F118" s="107">
        <v>5</v>
      </c>
      <c r="G118" s="108" t="s">
        <v>895</v>
      </c>
    </row>
    <row r="119" spans="1:7" x14ac:dyDescent="0.25">
      <c r="A119" s="129" t="str">
        <f>IFERROR(INDEX('Plano.Vinculacao_Conta.Azul'!$A$1:$B$168,MATCH(Tabela4[[#This Row],[Cod.Reduzido]],'Plano.Vinculacao_Conta.Azul'!$B$1:$B$168,0),MATCH(A$1,'Plano.Vinculacao_Conta.Azul'!$A$1:$B$1,0)),"")</f>
        <v/>
      </c>
      <c r="B119" s="109" t="s">
        <v>792</v>
      </c>
      <c r="C119" s="104">
        <v>10228</v>
      </c>
      <c r="D119" s="105" t="s">
        <v>830</v>
      </c>
      <c r="E119" s="106" t="s">
        <v>888</v>
      </c>
      <c r="F119" s="107">
        <v>5</v>
      </c>
      <c r="G119" s="108" t="s">
        <v>896</v>
      </c>
    </row>
    <row r="120" spans="1:7" x14ac:dyDescent="0.25">
      <c r="A120" s="129" t="str">
        <f>IFERROR(INDEX('Plano.Vinculacao_Conta.Azul'!$A$1:$B$168,MATCH(Tabela4[[#This Row],[Cod.Reduzido]],'Plano.Vinculacao_Conta.Azul'!$B$1:$B$168,0),MATCH(A$1,'Plano.Vinculacao_Conta.Azul'!$A$1:$B$1,0)),"")</f>
        <v/>
      </c>
      <c r="B120" s="109" t="s">
        <v>792</v>
      </c>
      <c r="C120" s="104">
        <v>11825</v>
      </c>
      <c r="D120" s="105" t="s">
        <v>836</v>
      </c>
      <c r="E120" s="106" t="s">
        <v>888</v>
      </c>
      <c r="F120" s="107">
        <v>5</v>
      </c>
      <c r="G120" s="108" t="s">
        <v>897</v>
      </c>
    </row>
    <row r="121" spans="1:7" x14ac:dyDescent="0.25">
      <c r="A121" s="129" t="str">
        <f>IFERROR(INDEX('Plano.Vinculacao_Conta.Azul'!$A$1:$B$168,MATCH(Tabela4[[#This Row],[Cod.Reduzido]],'Plano.Vinculacao_Conta.Azul'!$B$1:$B$168,0),MATCH(A$1,'Plano.Vinculacao_Conta.Azul'!$A$1:$B$1,0)),"")</f>
        <v/>
      </c>
      <c r="B121" s="109" t="s">
        <v>792</v>
      </c>
      <c r="C121" s="104">
        <v>11831</v>
      </c>
      <c r="D121" s="105" t="s">
        <v>842</v>
      </c>
      <c r="E121" s="106" t="s">
        <v>888</v>
      </c>
      <c r="F121" s="107">
        <v>5</v>
      </c>
      <c r="G121" s="108" t="s">
        <v>898</v>
      </c>
    </row>
    <row r="122" spans="1:7" x14ac:dyDescent="0.25">
      <c r="A122" s="129" t="str">
        <f>IFERROR(INDEX('Plano.Vinculacao_Conta.Azul'!$A$1:$B$168,MATCH(Tabela4[[#This Row],[Cod.Reduzido]],'Plano.Vinculacao_Conta.Azul'!$B$1:$B$168,0),MATCH(A$1,'Plano.Vinculacao_Conta.Azul'!$A$1:$B$1,0)),"")</f>
        <v/>
      </c>
      <c r="B122" s="109" t="s">
        <v>792</v>
      </c>
      <c r="C122" s="104">
        <v>12492</v>
      </c>
      <c r="D122" s="105" t="s">
        <v>848</v>
      </c>
      <c r="E122" s="106" t="s">
        <v>888</v>
      </c>
      <c r="F122" s="107">
        <v>5</v>
      </c>
      <c r="G122" s="108" t="s">
        <v>899</v>
      </c>
    </row>
    <row r="123" spans="1:7" x14ac:dyDescent="0.25">
      <c r="A123" s="129" t="str">
        <f>IFERROR(INDEX('Plano.Vinculacao_Conta.Azul'!$A$1:$B$168,MATCH(Tabela4[[#This Row],[Cod.Reduzido]],'Plano.Vinculacao_Conta.Azul'!$B$1:$B$168,0),MATCH(A$1,'Plano.Vinculacao_Conta.Azul'!$A$1:$B$1,0)),"")</f>
        <v>Manutencao e Reparos de Instalacoes</v>
      </c>
      <c r="B123" s="109" t="s">
        <v>178</v>
      </c>
      <c r="C123" s="104">
        <v>8036</v>
      </c>
      <c r="D123" s="105" t="s">
        <v>775</v>
      </c>
      <c r="E123" s="106" t="s">
        <v>367</v>
      </c>
      <c r="F123" s="107">
        <v>7</v>
      </c>
      <c r="G123" s="108" t="s">
        <v>258</v>
      </c>
    </row>
    <row r="124" spans="1:7" x14ac:dyDescent="0.25">
      <c r="A124" s="129" t="str">
        <f>IFERROR(INDEX('Plano.Vinculacao_Conta.Azul'!$A$1:$B$168,MATCH(Tabela4[[#This Row],[Cod.Reduzido]],'Plano.Vinculacao_Conta.Azul'!$B$1:$B$168,0),MATCH(A$1,'Plano.Vinculacao_Conta.Azul'!$A$1:$B$1,0)),"")</f>
        <v>Despesas de Escritorio e Consumo</v>
      </c>
      <c r="B124" s="109" t="s">
        <v>1265</v>
      </c>
      <c r="C124" s="104">
        <v>5173</v>
      </c>
      <c r="D124" s="105" t="s">
        <v>56</v>
      </c>
      <c r="E124" s="106" t="s">
        <v>367</v>
      </c>
      <c r="F124" s="107">
        <v>7</v>
      </c>
      <c r="G124" s="108" t="s">
        <v>258</v>
      </c>
    </row>
    <row r="125" spans="1:7" x14ac:dyDescent="0.25">
      <c r="A125" s="129" t="str">
        <f>IFERROR(INDEX('Plano.Vinculacao_Conta.Azul'!$A$1:$B$168,MATCH(Tabela4[[#This Row],[Cod.Reduzido]],'Plano.Vinculacao_Conta.Azul'!$B$1:$B$168,0),MATCH(A$1,'Plano.Vinculacao_Conta.Azul'!$A$1:$B$1,0)),"")</f>
        <v>Material de Limpeza</v>
      </c>
      <c r="B125" s="109" t="s">
        <v>769</v>
      </c>
      <c r="C125" s="104">
        <v>6014</v>
      </c>
      <c r="D125" s="105" t="s">
        <v>768</v>
      </c>
      <c r="E125" s="106" t="s">
        <v>367</v>
      </c>
      <c r="F125" s="107">
        <v>7</v>
      </c>
      <c r="G125" s="108" t="s">
        <v>258</v>
      </c>
    </row>
    <row r="126" spans="1:7" x14ac:dyDescent="0.25">
      <c r="A126" s="129" t="str">
        <f>IFERROR(INDEX('Plano.Vinculacao_Conta.Azul'!$A$1:$B$168,MATCH(Tabela4[[#This Row],[Cod.Reduzido]],'Plano.Vinculacao_Conta.Azul'!$B$1:$B$168,0),MATCH(A$1,'Plano.Vinculacao_Conta.Azul'!$A$1:$B$1,0)),"")</f>
        <v>Material Recreativo</v>
      </c>
      <c r="B126" s="109" t="s">
        <v>756</v>
      </c>
      <c r="C126" s="104">
        <v>5167</v>
      </c>
      <c r="D126" s="105" t="s">
        <v>55</v>
      </c>
      <c r="E126" s="106" t="s">
        <v>367</v>
      </c>
      <c r="F126" s="107">
        <v>7</v>
      </c>
      <c r="G126" s="108" t="s">
        <v>258</v>
      </c>
    </row>
    <row r="127" spans="1:7" x14ac:dyDescent="0.25">
      <c r="A127" s="129" t="str">
        <f>IFERROR(INDEX('Plano.Vinculacao_Conta.Azul'!$A$1:$B$168,MATCH(Tabela4[[#This Row],[Cod.Reduzido]],'Plano.Vinculacao_Conta.Azul'!$B$1:$B$168,0),MATCH(A$1,'Plano.Vinculacao_Conta.Azul'!$A$1:$B$1,0)),"")</f>
        <v>Microrregiao Grande BH</v>
      </c>
      <c r="B127" s="109" t="s">
        <v>741</v>
      </c>
      <c r="C127" s="104">
        <v>9412</v>
      </c>
      <c r="D127" s="105" t="s">
        <v>740</v>
      </c>
      <c r="E127" s="106" t="s">
        <v>366</v>
      </c>
      <c r="F127" s="107">
        <v>6</v>
      </c>
      <c r="G127" s="108" t="s">
        <v>924</v>
      </c>
    </row>
    <row r="128" spans="1:7" x14ac:dyDescent="0.25">
      <c r="A128" s="129" t="str">
        <f>IFERROR(INDEX('Plano.Vinculacao_Conta.Azul'!$A$1:$B$168,MATCH(Tabela4[[#This Row],[Cod.Reduzido]],'Plano.Vinculacao_Conta.Azul'!$B$1:$B$168,0),MATCH(A$1,'Plano.Vinculacao_Conta.Azul'!$A$1:$B$1,0)),"")</f>
        <v>Ministerio da Palavra - Conferencia</v>
      </c>
      <c r="B128" s="109" t="s">
        <v>685</v>
      </c>
      <c r="C128" s="104">
        <v>8451</v>
      </c>
      <c r="D128" s="105" t="s">
        <v>684</v>
      </c>
      <c r="E128" s="106" t="s">
        <v>313</v>
      </c>
      <c r="F128" s="107">
        <v>4</v>
      </c>
      <c r="G128" s="108" t="s">
        <v>887</v>
      </c>
    </row>
    <row r="129" spans="1:7" x14ac:dyDescent="0.25">
      <c r="A129" s="129" t="str">
        <f>IFERROR(INDEX('Plano.Vinculacao_Conta.Azul'!$A$1:$B$168,MATCH(Tabela4[[#This Row],[Cod.Reduzido]],'Plano.Vinculacao_Conta.Azul'!$B$1:$B$168,0),MATCH(A$1,'Plano.Vinculacao_Conta.Azul'!$A$1:$B$1,0)),"")</f>
        <v>Moveis e Utensilios</v>
      </c>
      <c r="B129" s="109" t="s">
        <v>483</v>
      </c>
      <c r="C129" s="104">
        <v>715</v>
      </c>
      <c r="D129" s="105" t="s">
        <v>482</v>
      </c>
      <c r="E129" s="106" t="s">
        <v>359</v>
      </c>
      <c r="F129" s="107">
        <v>1</v>
      </c>
      <c r="G129" s="108" t="s">
        <v>923</v>
      </c>
    </row>
    <row r="130" spans="1:7" x14ac:dyDescent="0.25">
      <c r="A130" s="129" t="str">
        <f>IFERROR(INDEX('Plano.Vinculacao_Conta.Azul'!$A$1:$B$168,MATCH(Tabela4[[#This Row],[Cod.Reduzido]],'Plano.Vinculacao_Conta.Azul'!$B$1:$B$168,0),MATCH(A$1,'Plano.Vinculacao_Conta.Azul'!$A$1:$B$1,0)),"")</f>
        <v>Obra Nacional</v>
      </c>
      <c r="B130" s="109" t="s">
        <v>725</v>
      </c>
      <c r="C130" s="104">
        <v>7835</v>
      </c>
      <c r="D130" s="105" t="s">
        <v>724</v>
      </c>
      <c r="E130" s="106" t="s">
        <v>366</v>
      </c>
      <c r="F130" s="107">
        <v>6</v>
      </c>
      <c r="G130" s="108" t="s">
        <v>924</v>
      </c>
    </row>
    <row r="131" spans="1:7" x14ac:dyDescent="0.25">
      <c r="A131" s="129" t="str">
        <f>IFERROR(INDEX('Plano.Vinculacao_Conta.Azul'!$A$1:$B$168,MATCH(Tabela4[[#This Row],[Cod.Reduzido]],'Plano.Vinculacao_Conta.Azul'!$B$1:$B$168,0),MATCH(A$1,'Plano.Vinculacao_Conta.Azul'!$A$1:$B$1,0)),"")</f>
        <v>Obra Regional - Adiantamentos e Emprestimos</v>
      </c>
      <c r="B131" s="109" t="s">
        <v>537</v>
      </c>
      <c r="C131" s="104">
        <v>7999</v>
      </c>
      <c r="D131" s="105" t="s">
        <v>536</v>
      </c>
      <c r="E131" s="106" t="s">
        <v>359</v>
      </c>
      <c r="F131" s="107">
        <v>1</v>
      </c>
      <c r="G131" s="108" t="s">
        <v>362</v>
      </c>
    </row>
    <row r="132" spans="1:7" x14ac:dyDescent="0.25">
      <c r="A132" s="129" t="str">
        <f>IFERROR(INDEX('Plano.Vinculacao_Conta.Azul'!$A$1:$B$168,MATCH(Tabela4[[#This Row],[Cod.Reduzido]],'Plano.Vinculacao_Conta.Azul'!$B$1:$B$168,0),MATCH(A$1,'Plano.Vinculacao_Conta.Azul'!$A$1:$B$1,0)),"")</f>
        <v/>
      </c>
      <c r="B132" s="109" t="s">
        <v>537</v>
      </c>
      <c r="C132" s="104">
        <v>177</v>
      </c>
      <c r="D132" s="105" t="s">
        <v>380</v>
      </c>
      <c r="E132" s="106" t="s">
        <v>359</v>
      </c>
      <c r="F132" s="107">
        <v>1</v>
      </c>
      <c r="G132" s="108" t="s">
        <v>362</v>
      </c>
    </row>
    <row r="133" spans="1:7" x14ac:dyDescent="0.25">
      <c r="A133" s="129" t="str">
        <f>IFERROR(INDEX('Plano.Vinculacao_Conta.Azul'!$A$1:$B$168,MATCH(Tabela4[[#This Row],[Cod.Reduzido]],'Plano.Vinculacao_Conta.Azul'!$B$1:$B$168,0),MATCH(A$1,'Plano.Vinculacao_Conta.Azul'!$A$1:$B$1,0)),"")</f>
        <v>Obra Regional</v>
      </c>
      <c r="B133" s="109" t="s">
        <v>537</v>
      </c>
      <c r="C133" s="104">
        <v>4854</v>
      </c>
      <c r="D133" s="105" t="s">
        <v>46</v>
      </c>
      <c r="E133" s="106" t="s">
        <v>366</v>
      </c>
      <c r="F133" s="107">
        <v>6</v>
      </c>
      <c r="G133" s="108" t="s">
        <v>924</v>
      </c>
    </row>
    <row r="134" spans="1:7" x14ac:dyDescent="0.25">
      <c r="A134" s="129" t="str">
        <f>IFERROR(INDEX('Plano.Vinculacao_Conta.Azul'!$A$1:$B$168,MATCH(Tabela4[[#This Row],[Cod.Reduzido]],'Plano.Vinculacao_Conta.Azul'!$B$1:$B$168,0),MATCH(A$1,'Plano.Vinculacao_Conta.Azul'!$A$1:$B$1,0)),"")</f>
        <v>Obras em Andamento - 1º Pavimento</v>
      </c>
      <c r="B134" s="109" t="s">
        <v>521</v>
      </c>
      <c r="C134" s="104">
        <v>8239</v>
      </c>
      <c r="D134" s="105" t="s">
        <v>520</v>
      </c>
      <c r="E134" s="106" t="s">
        <v>359</v>
      </c>
      <c r="F134" s="107">
        <v>1</v>
      </c>
      <c r="G134" s="108" t="s">
        <v>904</v>
      </c>
    </row>
    <row r="135" spans="1:7" x14ac:dyDescent="0.25">
      <c r="A135" s="129" t="str">
        <f>IFERROR(INDEX('Plano.Vinculacao_Conta.Azul'!$A$1:$B$168,MATCH(Tabela4[[#This Row],[Cod.Reduzido]],'Plano.Vinculacao_Conta.Azul'!$B$1:$B$168,0),MATCH(A$1,'Plano.Vinculacao_Conta.Azul'!$A$1:$B$1,0)),"")</f>
        <v>Obras em Andamento - 2º Pavimento</v>
      </c>
      <c r="B135" s="109" t="s">
        <v>519</v>
      </c>
      <c r="C135" s="104">
        <v>8238</v>
      </c>
      <c r="D135" s="105" t="s">
        <v>518</v>
      </c>
      <c r="E135" s="106" t="s">
        <v>359</v>
      </c>
      <c r="F135" s="107">
        <v>1</v>
      </c>
      <c r="G135" s="108" t="s">
        <v>904</v>
      </c>
    </row>
    <row r="136" spans="1:7" x14ac:dyDescent="0.25">
      <c r="A136" s="129" t="str">
        <f>IFERROR(INDEX('Plano.Vinculacao_Conta.Azul'!$A$1:$B$168,MATCH(Tabela4[[#This Row],[Cod.Reduzido]],'Plano.Vinculacao_Conta.Azul'!$B$1:$B$168,0),MATCH(A$1,'Plano.Vinculacao_Conta.Azul'!$A$1:$B$1,0)),"")</f>
        <v/>
      </c>
      <c r="B136" s="103" t="s">
        <v>571</v>
      </c>
      <c r="C136" s="104">
        <v>4602</v>
      </c>
      <c r="D136" s="105" t="s">
        <v>91</v>
      </c>
      <c r="E136" s="106" t="s">
        <v>241</v>
      </c>
      <c r="F136" s="107">
        <v>2</v>
      </c>
      <c r="G136" s="108" t="s">
        <v>241</v>
      </c>
    </row>
    <row r="137" spans="1:7" x14ac:dyDescent="0.25">
      <c r="A137" s="129" t="str">
        <f>IFERROR(INDEX('Plano.Vinculacao_Conta.Azul'!$A$1:$B$168,MATCH(Tabela4[[#This Row],[Cod.Reduzido]],'Plano.Vinculacao_Conta.Azul'!$B$1:$B$168,0),MATCH(A$1,'Plano.Vinculacao_Conta.Azul'!$A$1:$B$1,0)),"")</f>
        <v>Oferta p/ Aquisicao de Veiculo</v>
      </c>
      <c r="B137" s="103" t="s">
        <v>603</v>
      </c>
      <c r="C137" s="104">
        <v>12872</v>
      </c>
      <c r="D137" s="105" t="s">
        <v>602</v>
      </c>
      <c r="E137" s="106" t="s">
        <v>241</v>
      </c>
      <c r="F137" s="107">
        <v>2</v>
      </c>
      <c r="G137" s="108" t="s">
        <v>241</v>
      </c>
    </row>
    <row r="138" spans="1:7" x14ac:dyDescent="0.25">
      <c r="A138" s="129" t="str">
        <f>IFERROR(INDEX('Plano.Vinculacao_Conta.Azul'!$A$1:$B$168,MATCH(Tabela4[[#This Row],[Cod.Reduzido]],'Plano.Vinculacao_Conta.Azul'!$B$1:$B$168,0),MATCH(A$1,'Plano.Vinculacao_Conta.Azul'!$A$1:$B$1,0)),"")</f>
        <v>Oferta p/ Bookafe</v>
      </c>
      <c r="B138" s="103" t="s">
        <v>597</v>
      </c>
      <c r="C138" s="104">
        <v>12871</v>
      </c>
      <c r="D138" s="105" t="s">
        <v>596</v>
      </c>
      <c r="E138" s="106" t="s">
        <v>241</v>
      </c>
      <c r="F138" s="107">
        <v>2</v>
      </c>
      <c r="G138" s="108" t="s">
        <v>885</v>
      </c>
    </row>
    <row r="139" spans="1:7" x14ac:dyDescent="0.25">
      <c r="A139" s="129" t="str">
        <f>IFERROR(INDEX('Plano.Vinculacao_Conta.Azul'!$A$1:$B$168,MATCH(Tabela4[[#This Row],[Cod.Reduzido]],'Plano.Vinculacao_Conta.Azul'!$B$1:$B$168,0),MATCH(A$1,'Plano.Vinculacao_Conta.Azul'!$A$1:$B$1,0)),"")</f>
        <v>Oferta p/ CEAOM</v>
      </c>
      <c r="B139" s="109" t="s">
        <v>599</v>
      </c>
      <c r="C139" s="104">
        <v>13853</v>
      </c>
      <c r="D139" s="105" t="s">
        <v>598</v>
      </c>
      <c r="E139" s="106" t="s">
        <v>241</v>
      </c>
      <c r="F139" s="107">
        <v>2</v>
      </c>
      <c r="G139" s="108" t="s">
        <v>924</v>
      </c>
    </row>
    <row r="140" spans="1:7" x14ac:dyDescent="0.25">
      <c r="A140" s="129" t="str">
        <f>IFERROR(INDEX('Plano.Vinculacao_Conta.Azul'!$A$1:$B$168,MATCH(Tabela4[[#This Row],[Cod.Reduzido]],'Plano.Vinculacao_Conta.Azul'!$B$1:$B$168,0),MATCH(A$1,'Plano.Vinculacao_Conta.Azul'!$A$1:$B$1,0)),"")</f>
        <v>Oferta p/ Colportagem</v>
      </c>
      <c r="B140" s="109" t="s">
        <v>595</v>
      </c>
      <c r="C140" s="104">
        <v>12612</v>
      </c>
      <c r="D140" s="105" t="s">
        <v>594</v>
      </c>
      <c r="E140" s="106" t="s">
        <v>241</v>
      </c>
      <c r="F140" s="107">
        <v>2</v>
      </c>
      <c r="G140" s="108" t="s">
        <v>241</v>
      </c>
    </row>
    <row r="141" spans="1:7" x14ac:dyDescent="0.25">
      <c r="A141" s="129" t="str">
        <f>IFERROR(INDEX('Plano.Vinculacao_Conta.Azul'!$A$1:$B$168,MATCH(Tabela4[[#This Row],[Cod.Reduzido]],'Plano.Vinculacao_Conta.Azul'!$B$1:$B$168,0),MATCH(A$1,'Plano.Vinculacao_Conta.Azul'!$A$1:$B$1,0)),"")</f>
        <v>Oferta p/ Construcao</v>
      </c>
      <c r="B141" s="109" t="s">
        <v>936</v>
      </c>
      <c r="C141" s="104">
        <v>8102</v>
      </c>
      <c r="D141" s="105" t="s">
        <v>584</v>
      </c>
      <c r="E141" s="106" t="s">
        <v>241</v>
      </c>
      <c r="F141" s="107">
        <v>2</v>
      </c>
      <c r="G141" s="108" t="s">
        <v>904</v>
      </c>
    </row>
    <row r="142" spans="1:7" x14ac:dyDescent="0.25">
      <c r="A142" s="129" t="str">
        <f>IFERROR(INDEX('Plano.Vinculacao_Conta.Azul'!$A$1:$B$168,MATCH(Tabela4[[#This Row],[Cod.Reduzido]],'Plano.Vinculacao_Conta.Azul'!$B$1:$B$168,0),MATCH(A$1,'Plano.Vinculacao_Conta.Azul'!$A$1:$B$1,0)),"")</f>
        <v>Oferta p/ EAV - Igrejas</v>
      </c>
      <c r="B142" s="103" t="s">
        <v>583</v>
      </c>
      <c r="C142" s="104">
        <v>7701</v>
      </c>
      <c r="D142" s="105" t="s">
        <v>582</v>
      </c>
      <c r="E142" s="106" t="s">
        <v>241</v>
      </c>
      <c r="F142" s="107">
        <v>2</v>
      </c>
      <c r="G142" s="108" t="s">
        <v>241</v>
      </c>
    </row>
    <row r="143" spans="1:7" x14ac:dyDescent="0.25">
      <c r="A143" s="129" t="str">
        <f>IFERROR(INDEX('Plano.Vinculacao_Conta.Azul'!$A$1:$B$168,MATCH(Tabela4[[#This Row],[Cod.Reduzido]],'Plano.Vinculacao_Conta.Azul'!$B$1:$B$168,0),MATCH(A$1,'Plano.Vinculacao_Conta.Azul'!$A$1:$B$1,0)),"")</f>
        <v>Oferta p/ Microrregiao Grande BH</v>
      </c>
      <c r="B143" s="109" t="s">
        <v>611</v>
      </c>
      <c r="C143" s="104">
        <v>12876</v>
      </c>
      <c r="D143" s="105" t="s">
        <v>610</v>
      </c>
      <c r="E143" s="106" t="s">
        <v>241</v>
      </c>
      <c r="F143" s="107">
        <v>2</v>
      </c>
      <c r="G143" s="108" t="s">
        <v>924</v>
      </c>
    </row>
    <row r="144" spans="1:7" x14ac:dyDescent="0.25">
      <c r="A144" s="129" t="str">
        <f>IFERROR(INDEX('Plano.Vinculacao_Conta.Azul'!$A$1:$B$168,MATCH(Tabela4[[#This Row],[Cod.Reduzido]],'Plano.Vinculacao_Conta.Azul'!$B$1:$B$168,0),MATCH(A$1,'Plano.Vinculacao_Conta.Azul'!$A$1:$B$1,0)),"")</f>
        <v>Oferta p/ Missoes</v>
      </c>
      <c r="B144" s="109" t="s">
        <v>605</v>
      </c>
      <c r="C144" s="104">
        <v>12873</v>
      </c>
      <c r="D144" s="105" t="s">
        <v>604</v>
      </c>
      <c r="E144" s="106" t="s">
        <v>241</v>
      </c>
      <c r="F144" s="107">
        <v>2</v>
      </c>
      <c r="G144" s="108" t="s">
        <v>924</v>
      </c>
    </row>
    <row r="145" spans="1:7" x14ac:dyDescent="0.25">
      <c r="A145" s="129" t="str">
        <f>IFERROR(INDEX('Plano.Vinculacao_Conta.Azul'!$A$1:$B$168,MATCH(Tabela4[[#This Row],[Cod.Reduzido]],'Plano.Vinculacao_Conta.Azul'!$B$1:$B$168,0),MATCH(A$1,'Plano.Vinculacao_Conta.Azul'!$A$1:$B$1,0)),"")</f>
        <v>Oferta p/ Obra Nacional</v>
      </c>
      <c r="B145" s="109" t="s">
        <v>601</v>
      </c>
      <c r="C145" s="104">
        <v>9568</v>
      </c>
      <c r="D145" s="105" t="s">
        <v>600</v>
      </c>
      <c r="E145" s="106" t="s">
        <v>241</v>
      </c>
      <c r="F145" s="107">
        <v>2</v>
      </c>
      <c r="G145" s="108" t="s">
        <v>924</v>
      </c>
    </row>
    <row r="146" spans="1:7" x14ac:dyDescent="0.25">
      <c r="A146" s="129" t="str">
        <f>IFERROR(INDEX('Plano.Vinculacao_Conta.Azul'!$A$1:$B$168,MATCH(Tabela4[[#This Row],[Cod.Reduzido]],'Plano.Vinculacao_Conta.Azul'!$B$1:$B$168,0),MATCH(A$1,'Plano.Vinculacao_Conta.Azul'!$A$1:$B$1,0)),"")</f>
        <v>Oferta p/ Outras Igrejas</v>
      </c>
      <c r="B146" s="109" t="s">
        <v>720</v>
      </c>
      <c r="C146" s="104">
        <v>7597</v>
      </c>
      <c r="D146" s="105" t="s">
        <v>358</v>
      </c>
      <c r="E146" s="106" t="s">
        <v>366</v>
      </c>
      <c r="F146" s="107">
        <v>6</v>
      </c>
      <c r="G146" s="108" t="s">
        <v>924</v>
      </c>
    </row>
    <row r="147" spans="1:7" x14ac:dyDescent="0.25">
      <c r="A147" s="129" t="str">
        <f>IFERROR(INDEX('Plano.Vinculacao_Conta.Azul'!$A$1:$B$168,MATCH(Tabela4[[#This Row],[Cod.Reduzido]],'Plano.Vinculacao_Conta.Azul'!$B$1:$B$168,0),MATCH(A$1,'Plano.Vinculacao_Conta.Azul'!$A$1:$B$1,0)),"")</f>
        <v>Oferta p/ Participacao de Irmaos - Conferencia</v>
      </c>
      <c r="B147" s="109" t="s">
        <v>687</v>
      </c>
      <c r="C147" s="104">
        <v>8444</v>
      </c>
      <c r="D147" s="105" t="s">
        <v>686</v>
      </c>
      <c r="E147" s="106" t="s">
        <v>313</v>
      </c>
      <c r="F147" s="107">
        <v>4</v>
      </c>
      <c r="G147" s="108" t="s">
        <v>887</v>
      </c>
    </row>
    <row r="148" spans="1:7" x14ac:dyDescent="0.25">
      <c r="A148" s="129" t="str">
        <f>IFERROR(INDEX('Plano.Vinculacao_Conta.Azul'!$A$1:$B$168,MATCH(Tabela4[[#This Row],[Cod.Reduzido]],'Plano.Vinculacao_Conta.Azul'!$B$1:$B$168,0),MATCH(A$1,'Plano.Vinculacao_Conta.Azul'!$A$1:$B$1,0)),"")</f>
        <v>Oferta p/ Programa Celeiro EAV</v>
      </c>
      <c r="B148" s="109" t="s">
        <v>613</v>
      </c>
      <c r="C148" s="104">
        <v>12877</v>
      </c>
      <c r="D148" s="105" t="s">
        <v>612</v>
      </c>
      <c r="E148" s="106" t="s">
        <v>241</v>
      </c>
      <c r="F148" s="107">
        <v>2</v>
      </c>
      <c r="G148" s="108" t="s">
        <v>743</v>
      </c>
    </row>
    <row r="149" spans="1:7" x14ac:dyDescent="0.25">
      <c r="A149" s="129" t="str">
        <f>IFERROR(INDEX('Plano.Vinculacao_Conta.Azul'!$A$1:$B$168,MATCH(Tabela4[[#This Row],[Cod.Reduzido]],'Plano.Vinculacao_Conta.Azul'!$B$1:$B$168,0),MATCH(A$1,'Plano.Vinculacao_Conta.Azul'!$A$1:$B$1,0)),"")</f>
        <v>Oferta p/ Projeto Vida Para Todos</v>
      </c>
      <c r="B149" s="109" t="s">
        <v>589</v>
      </c>
      <c r="C149" s="104">
        <v>9567</v>
      </c>
      <c r="D149" s="105" t="s">
        <v>588</v>
      </c>
      <c r="E149" s="106" t="s">
        <v>241</v>
      </c>
      <c r="F149" s="107">
        <v>2</v>
      </c>
      <c r="G149" s="108" t="s">
        <v>241</v>
      </c>
    </row>
    <row r="150" spans="1:7" x14ac:dyDescent="0.25">
      <c r="A150" s="129" t="str">
        <f>IFERROR(INDEX('Plano.Vinculacao_Conta.Azul'!$A$1:$B$168,MATCH(Tabela4[[#This Row],[Cod.Reduzido]],'Plano.Vinculacao_Conta.Azul'!$B$1:$B$168,0),MATCH(A$1,'Plano.Vinculacao_Conta.Azul'!$A$1:$B$1,0)),"")</f>
        <v/>
      </c>
      <c r="B150" s="109" t="s">
        <v>609</v>
      </c>
      <c r="C150" s="104">
        <v>12875</v>
      </c>
      <c r="D150" s="105" t="s">
        <v>608</v>
      </c>
      <c r="E150" s="106" t="s">
        <v>241</v>
      </c>
      <c r="F150" s="107">
        <v>2</v>
      </c>
      <c r="G150" s="108" t="s">
        <v>904</v>
      </c>
    </row>
    <row r="151" spans="1:7" x14ac:dyDescent="0.25">
      <c r="A151" s="129" t="str">
        <f>IFERROR(INDEX('Plano.Vinculacao_Conta.Azul'!$A$1:$B$168,MATCH(Tabela4[[#This Row],[Cod.Reduzido]],'Plano.Vinculacao_Conta.Azul'!$B$1:$B$168,0),MATCH(A$1,'Plano.Vinculacao_Conta.Azul'!$A$1:$B$1,0)),"")</f>
        <v>Oferta p/ Reunioes Especiais</v>
      </c>
      <c r="B151" s="109" t="s">
        <v>607</v>
      </c>
      <c r="C151" s="104">
        <v>12874</v>
      </c>
      <c r="D151" s="105" t="s">
        <v>606</v>
      </c>
      <c r="E151" s="106" t="s">
        <v>241</v>
      </c>
      <c r="F151" s="107">
        <v>2</v>
      </c>
      <c r="G151" s="108" t="s">
        <v>708</v>
      </c>
    </row>
    <row r="152" spans="1:7" x14ac:dyDescent="0.25">
      <c r="A152" s="129" t="str">
        <f>IFERROR(INDEX('Plano.Vinculacao_Conta.Azul'!$A$1:$B$168,MATCH(Tabela4[[#This Row],[Cod.Reduzido]],'Plano.Vinculacao_Conta.Azul'!$B$1:$B$168,0),MATCH(A$1,'Plano.Vinculacao_Conta.Azul'!$A$1:$B$1,0)),"")</f>
        <v>Oferta p/ Servico de Som e Musica</v>
      </c>
      <c r="B152" s="109" t="s">
        <v>593</v>
      </c>
      <c r="C152" s="104">
        <v>11921</v>
      </c>
      <c r="D152" s="105" t="s">
        <v>592</v>
      </c>
      <c r="E152" s="106" t="s">
        <v>241</v>
      </c>
      <c r="F152" s="107">
        <v>2</v>
      </c>
      <c r="G152" s="108" t="s">
        <v>241</v>
      </c>
    </row>
    <row r="153" spans="1:7" x14ac:dyDescent="0.25">
      <c r="A153" s="129" t="str">
        <f>IFERROR(INDEX('Plano.Vinculacao_Conta.Azul'!$A$1:$B$168,MATCH(Tabela4[[#This Row],[Cod.Reduzido]],'Plano.Vinculacao_Conta.Azul'!$B$1:$B$168,0),MATCH(A$1,'Plano.Vinculacao_Conta.Azul'!$A$1:$B$1,0)),"")</f>
        <v>Oferta Pregacao Evangelho</v>
      </c>
      <c r="B153" s="109" t="s">
        <v>587</v>
      </c>
      <c r="C153" s="104">
        <v>8711</v>
      </c>
      <c r="D153" s="105" t="s">
        <v>586</v>
      </c>
      <c r="E153" s="106" t="s">
        <v>241</v>
      </c>
      <c r="F153" s="107">
        <v>2</v>
      </c>
      <c r="G153" s="108" t="s">
        <v>241</v>
      </c>
    </row>
    <row r="154" spans="1:7" x14ac:dyDescent="0.25">
      <c r="A154" s="129" t="str">
        <f>IFERROR(INDEX('Plano.Vinculacao_Conta.Azul'!$A$1:$B$168,MATCH(Tabela4[[#This Row],[Cod.Reduzido]],'Plano.Vinculacao_Conta.Azul'!$B$1:$B$168,0),MATCH(A$1,'Plano.Vinculacao_Conta.Azul'!$A$1:$B$1,0)),"")</f>
        <v>Ofertas Especiais e Voluntarias</v>
      </c>
      <c r="B154" s="109" t="s">
        <v>569</v>
      </c>
      <c r="C154" s="104">
        <v>5457</v>
      </c>
      <c r="D154" s="105" t="s">
        <v>28</v>
      </c>
      <c r="E154" s="106" t="s">
        <v>241</v>
      </c>
      <c r="F154" s="107">
        <v>2</v>
      </c>
      <c r="G154" s="108" t="s">
        <v>241</v>
      </c>
    </row>
    <row r="155" spans="1:7" x14ac:dyDescent="0.25">
      <c r="A155" s="129" t="str">
        <f>IFERROR(INDEX('Plano.Vinculacao_Conta.Azul'!$A$1:$B$168,MATCH(Tabela4[[#This Row],[Cod.Reduzido]],'Plano.Vinculacao_Conta.Azul'!$B$1:$B$168,0),MATCH(A$1,'Plano.Vinculacao_Conta.Azul'!$A$1:$B$1,0)),"")</f>
        <v>Ofertas p/ Africa</v>
      </c>
      <c r="B155" s="109" t="s">
        <v>577</v>
      </c>
      <c r="C155" s="104">
        <v>4593</v>
      </c>
      <c r="D155" s="105" t="s">
        <v>576</v>
      </c>
      <c r="E155" s="106" t="s">
        <v>241</v>
      </c>
      <c r="F155" s="107">
        <v>2</v>
      </c>
      <c r="G155" s="108" t="s">
        <v>924</v>
      </c>
    </row>
    <row r="156" spans="1:7" x14ac:dyDescent="0.25">
      <c r="A156" s="129" t="str">
        <f>IFERROR(INDEX('Plano.Vinculacao_Conta.Azul'!$A$1:$B$168,MATCH(Tabela4[[#This Row],[Cod.Reduzido]],'Plano.Vinculacao_Conta.Azul'!$B$1:$B$168,0),MATCH(A$1,'Plano.Vinculacao_Conta.Azul'!$A$1:$B$1,0)),"")</f>
        <v>Oferta p/ Alojamento EAV</v>
      </c>
      <c r="B156" s="109" t="s">
        <v>575</v>
      </c>
      <c r="C156" s="104">
        <v>4541</v>
      </c>
      <c r="D156" s="105" t="s">
        <v>574</v>
      </c>
      <c r="E156" s="106" t="s">
        <v>241</v>
      </c>
      <c r="F156" s="107">
        <v>2</v>
      </c>
      <c r="G156" s="108" t="s">
        <v>905</v>
      </c>
    </row>
    <row r="157" spans="1:7" x14ac:dyDescent="0.25">
      <c r="A157" s="129" t="str">
        <f>IFERROR(INDEX('Plano.Vinculacao_Conta.Azul'!$A$1:$B$168,MATCH(Tabela4[[#This Row],[Cod.Reduzido]],'Plano.Vinculacao_Conta.Azul'!$B$1:$B$168,0),MATCH(A$1,'Plano.Vinculacao_Conta.Azul'!$A$1:$B$1,0)),"")</f>
        <v>Ofertas p/ Irmaos Necessitados</v>
      </c>
      <c r="B157" s="109" t="s">
        <v>570</v>
      </c>
      <c r="C157" s="104">
        <v>4601</v>
      </c>
      <c r="D157" s="105" t="s">
        <v>29</v>
      </c>
      <c r="E157" s="106" t="s">
        <v>241</v>
      </c>
      <c r="F157" s="107">
        <v>2</v>
      </c>
      <c r="G157" s="108" t="s">
        <v>241</v>
      </c>
    </row>
    <row r="158" spans="1:7" x14ac:dyDescent="0.25">
      <c r="A158" s="129" t="str">
        <f>IFERROR(INDEX('Plano.Vinculacao_Conta.Azul'!$A$1:$B$168,MATCH(Tabela4[[#This Row],[Cod.Reduzido]],'Plano.Vinculacao_Conta.Azul'!$B$1:$B$168,0),MATCH(A$1,'Plano.Vinculacao_Conta.Azul'!$A$1:$B$1,0)),"")</f>
        <v>Oferta p/ Obra Regional</v>
      </c>
      <c r="B158" s="109" t="s">
        <v>579</v>
      </c>
      <c r="C158" s="104">
        <v>5753</v>
      </c>
      <c r="D158" s="105" t="s">
        <v>578</v>
      </c>
      <c r="E158" s="106" t="s">
        <v>241</v>
      </c>
      <c r="F158" s="107">
        <v>2</v>
      </c>
      <c r="G158" s="108" t="s">
        <v>924</v>
      </c>
    </row>
    <row r="159" spans="1:7" x14ac:dyDescent="0.25">
      <c r="A159" s="129" t="str">
        <f>IFERROR(INDEX('Plano.Vinculacao_Conta.Azul'!$A$1:$B$168,MATCH(Tabela4[[#This Row],[Cod.Reduzido]],'Plano.Vinculacao_Conta.Azul'!$B$1:$B$168,0),MATCH(A$1,'Plano.Vinculacao_Conta.Azul'!$A$1:$B$1,0)),"")</f>
        <v>Outras Despesas de Conferencias</v>
      </c>
      <c r="B159" s="103" t="s">
        <v>702</v>
      </c>
      <c r="C159" s="104">
        <v>8473</v>
      </c>
      <c r="D159" s="105" t="s">
        <v>701</v>
      </c>
      <c r="E159" s="106" t="s">
        <v>313</v>
      </c>
      <c r="F159" s="107">
        <v>4</v>
      </c>
      <c r="G159" s="108" t="s">
        <v>887</v>
      </c>
    </row>
    <row r="160" spans="1:7" x14ac:dyDescent="0.25">
      <c r="A160" s="129" t="str">
        <f>IFERROR(INDEX('Plano.Vinculacao_Conta.Azul'!$A$1:$B$168,MATCH(Tabela4[[#This Row],[Cod.Reduzido]],'Plano.Vinculacao_Conta.Azul'!$B$1:$B$168,0),MATCH(A$1,'Plano.Vinculacao_Conta.Azul'!$A$1:$B$1,0)),"")</f>
        <v>Outras Despesas Ministeriais</v>
      </c>
      <c r="B160" s="103" t="s">
        <v>745</v>
      </c>
      <c r="C160" s="104">
        <v>4883</v>
      </c>
      <c r="D160" s="105" t="s">
        <v>744</v>
      </c>
      <c r="E160" s="106" t="s">
        <v>366</v>
      </c>
      <c r="F160" s="107">
        <v>6</v>
      </c>
      <c r="G160" s="108" t="s">
        <v>366</v>
      </c>
    </row>
    <row r="161" spans="1:7" x14ac:dyDescent="0.25">
      <c r="A161" s="129" t="str">
        <f>IFERROR(INDEX('Plano.Vinculacao_Conta.Azul'!$A$1:$B$168,MATCH(Tabela4[[#This Row],[Cod.Reduzido]],'Plano.Vinculacao_Conta.Azul'!$B$1:$B$168,0),MATCH(A$1,'Plano.Vinculacao_Conta.Azul'!$A$1:$B$1,0)),"")</f>
        <v>Outras Entradas - Conferencias</v>
      </c>
      <c r="B161" s="109" t="s">
        <v>667</v>
      </c>
      <c r="C161" s="104">
        <v>8823</v>
      </c>
      <c r="D161" s="105" t="s">
        <v>666</v>
      </c>
      <c r="E161" s="106" t="s">
        <v>313</v>
      </c>
      <c r="F161" s="107">
        <v>4</v>
      </c>
      <c r="G161" s="108" t="s">
        <v>886</v>
      </c>
    </row>
    <row r="162" spans="1:7" x14ac:dyDescent="0.25">
      <c r="A162" s="129" t="str">
        <f>IFERROR(INDEX('Plano.Vinculacao_Conta.Azul'!$A$1:$B$168,MATCH(Tabela4[[#This Row],[Cod.Reduzido]],'Plano.Vinculacao_Conta.Azul'!$B$1:$B$168,0),MATCH(A$1,'Plano.Vinculacao_Conta.Azul'!$A$1:$B$1,0)),"")</f>
        <v>Outras Oferta Especificas</v>
      </c>
      <c r="B162" s="109" t="s">
        <v>615</v>
      </c>
      <c r="C162" s="104">
        <v>9656</v>
      </c>
      <c r="D162" s="105" t="s">
        <v>614</v>
      </c>
      <c r="E162" s="106" t="s">
        <v>241</v>
      </c>
      <c r="F162" s="107">
        <v>2</v>
      </c>
      <c r="G162" s="108" t="s">
        <v>241</v>
      </c>
    </row>
    <row r="163" spans="1:7" x14ac:dyDescent="0.25">
      <c r="A163" s="129" t="str">
        <f>IFERROR(INDEX('Plano.Vinculacao_Conta.Azul'!$A$1:$B$168,MATCH(Tabela4[[#This Row],[Cod.Reduzido]],'Plano.Vinculacao_Conta.Azul'!$B$1:$B$168,0),MATCH(A$1,'Plano.Vinculacao_Conta.Azul'!$A$1:$B$1,0)),"")</f>
        <v>Outras Receitas</v>
      </c>
      <c r="B163" s="109" t="s">
        <v>233</v>
      </c>
      <c r="C163" s="104">
        <v>12990</v>
      </c>
      <c r="D163" s="105" t="s">
        <v>653</v>
      </c>
      <c r="E163" s="106" t="s">
        <v>233</v>
      </c>
      <c r="F163" s="107">
        <v>3</v>
      </c>
      <c r="G163" s="108" t="s">
        <v>233</v>
      </c>
    </row>
    <row r="164" spans="1:7" x14ac:dyDescent="0.25">
      <c r="A164" s="129" t="str">
        <f>IFERROR(INDEX('Plano.Vinculacao_Conta.Azul'!$A$1:$B$168,MATCH(Tabela4[[#This Row],[Cod.Reduzido]],'Plano.Vinculacao_Conta.Azul'!$B$1:$B$168,0),MATCH(A$1,'Plano.Vinculacao_Conta.Azul'!$A$1:$B$1,0)),"")</f>
        <v>Outros Proventos</v>
      </c>
      <c r="B164" s="109" t="s">
        <v>755</v>
      </c>
      <c r="C164" s="104">
        <v>5139</v>
      </c>
      <c r="D164" s="105" t="s">
        <v>754</v>
      </c>
      <c r="E164" s="106" t="s">
        <v>367</v>
      </c>
      <c r="F164" s="107">
        <v>7</v>
      </c>
      <c r="G164" s="108" t="s">
        <v>364</v>
      </c>
    </row>
    <row r="165" spans="1:7" x14ac:dyDescent="0.25">
      <c r="A165" s="129" t="str">
        <f>IFERROR(INDEX('Plano.Vinculacao_Conta.Azul'!$A$1:$B$168,MATCH(Tabela4[[#This Row],[Cod.Reduzido]],'Plano.Vinculacao_Conta.Azul'!$B$1:$B$168,0),MATCH(A$1,'Plano.Vinculacao_Conta.Azul'!$A$1:$B$1,0)),"")</f>
        <v>Outros Tributos</v>
      </c>
      <c r="B165" s="109" t="s">
        <v>872</v>
      </c>
      <c r="C165" s="104">
        <v>5351</v>
      </c>
      <c r="D165" s="105" t="s">
        <v>871</v>
      </c>
      <c r="E165" s="106" t="s">
        <v>962</v>
      </c>
      <c r="F165" s="107">
        <v>8</v>
      </c>
      <c r="G165" s="108" t="s">
        <v>963</v>
      </c>
    </row>
    <row r="166" spans="1:7" x14ac:dyDescent="0.25">
      <c r="A166" s="129" t="str">
        <f>IFERROR(INDEX('Plano.Vinculacao_Conta.Azul'!$A$1:$B$168,MATCH(Tabela4[[#This Row],[Cod.Reduzido]],'Plano.Vinculacao_Conta.Azul'!$B$1:$B$168,0),MATCH(A$1,'Plano.Vinculacao_Conta.Azul'!$A$1:$B$1,0)),"")</f>
        <v>Pequenas Imobilizacoes</v>
      </c>
      <c r="B166" s="109" t="s">
        <v>184</v>
      </c>
      <c r="C166" s="104">
        <v>5664</v>
      </c>
      <c r="D166" s="105" t="s">
        <v>763</v>
      </c>
      <c r="E166" s="106" t="s">
        <v>367</v>
      </c>
      <c r="F166" s="107">
        <v>7</v>
      </c>
      <c r="G166" s="108" t="s">
        <v>258</v>
      </c>
    </row>
    <row r="167" spans="1:7" x14ac:dyDescent="0.25">
      <c r="A167" s="129" t="str">
        <f>IFERROR(INDEX('Plano.Vinculacao_Conta.Azul'!$A$1:$B$168,MATCH(Tabela4[[#This Row],[Cod.Reduzido]],'Plano.Vinculacao_Conta.Azul'!$B$1:$B$168,0),MATCH(A$1,'Plano.Vinculacao_Conta.Azul'!$A$1:$B$1,0)),"")</f>
        <v>Perda em Investimentos</v>
      </c>
      <c r="B167" s="103" t="s">
        <v>854</v>
      </c>
      <c r="C167" s="104">
        <v>7166</v>
      </c>
      <c r="D167" s="105" t="s">
        <v>190</v>
      </c>
      <c r="E167" s="106" t="s">
        <v>962</v>
      </c>
      <c r="F167" s="107">
        <v>8</v>
      </c>
      <c r="G167" s="108" t="s">
        <v>369</v>
      </c>
    </row>
    <row r="168" spans="1:7" x14ac:dyDescent="0.25">
      <c r="A168" s="129" t="str">
        <f>IFERROR(INDEX('Plano.Vinculacao_Conta.Azul'!$A$1:$B$168,MATCH(Tabela4[[#This Row],[Cod.Reduzido]],'Plano.Vinculacao_Conta.Azul'!$B$1:$B$168,0),MATCH(A$1,'Plano.Vinculacao_Conta.Azul'!$A$1:$B$1,0)),"")</f>
        <v>PIS a Recolher</v>
      </c>
      <c r="B168" s="109" t="s">
        <v>71</v>
      </c>
      <c r="C168" s="104">
        <v>7568</v>
      </c>
      <c r="D168" s="105" t="s">
        <v>14</v>
      </c>
      <c r="E168" s="106" t="s">
        <v>962</v>
      </c>
      <c r="F168" s="107">
        <v>8</v>
      </c>
      <c r="G168" s="108" t="s">
        <v>963</v>
      </c>
    </row>
    <row r="169" spans="1:7" x14ac:dyDescent="0.25">
      <c r="A169" s="129" t="str">
        <f>IFERROR(INDEX('Plano.Vinculacao_Conta.Azul'!$A$1:$B$168,MATCH(Tabela4[[#This Row],[Cod.Reduzido]],'Plano.Vinculacao_Conta.Azul'!$B$1:$B$168,0),MATCH(A$1,'Plano.Vinculacao_Conta.Azul'!$A$1:$B$1,0)),"")</f>
        <v/>
      </c>
      <c r="B169" s="109" t="s">
        <v>71</v>
      </c>
      <c r="C169" s="104">
        <v>8208</v>
      </c>
      <c r="D169" s="105" t="s">
        <v>209</v>
      </c>
      <c r="E169" s="106" t="s">
        <v>367</v>
      </c>
      <c r="F169" s="107">
        <v>7</v>
      </c>
      <c r="G169" s="108" t="s">
        <v>364</v>
      </c>
    </row>
    <row r="170" spans="1:7" x14ac:dyDescent="0.25">
      <c r="A170" s="129" t="str">
        <f>IFERROR(INDEX('Plano.Vinculacao_Conta.Azul'!$A$1:$B$168,MATCH(Tabela4[[#This Row],[Cod.Reduzido]],'Plano.Vinculacao_Conta.Azul'!$B$1:$B$168,0),MATCH(A$1,'Plano.Vinculacao_Conta.Azul'!$A$1:$B$1,0)),"")</f>
        <v>Pregacao do Evangelho</v>
      </c>
      <c r="B170" s="109" t="s">
        <v>717</v>
      </c>
      <c r="C170" s="104">
        <v>7077</v>
      </c>
      <c r="D170" s="105" t="s">
        <v>194</v>
      </c>
      <c r="E170" s="106" t="s">
        <v>366</v>
      </c>
      <c r="F170" s="107">
        <v>6</v>
      </c>
      <c r="G170" s="108" t="s">
        <v>366</v>
      </c>
    </row>
    <row r="171" spans="1:7" x14ac:dyDescent="0.25">
      <c r="A171" s="129" t="str">
        <f>IFERROR(INDEX('Plano.Vinculacao_Conta.Azul'!$A$1:$B$168,MATCH(Tabela4[[#This Row],[Cod.Reduzido]],'Plano.Vinculacao_Conta.Azul'!$B$1:$B$168,0),MATCH(A$1,'Plano.Vinculacao_Conta.Azul'!$A$1:$B$1,0)),"")</f>
        <v>Programa Celeiro EAV</v>
      </c>
      <c r="B171" s="109" t="s">
        <v>743</v>
      </c>
      <c r="C171" s="104">
        <v>9413</v>
      </c>
      <c r="D171" s="105" t="s">
        <v>742</v>
      </c>
      <c r="E171" s="106" t="s">
        <v>366</v>
      </c>
      <c r="F171" s="107">
        <v>6</v>
      </c>
      <c r="G171" s="108" t="s">
        <v>743</v>
      </c>
    </row>
    <row r="172" spans="1:7" x14ac:dyDescent="0.25">
      <c r="A172" s="129" t="str">
        <f>IFERROR(INDEX('Plano.Vinculacao_Conta.Azul'!$A$1:$B$168,MATCH(Tabela4[[#This Row],[Cod.Reduzido]],'Plano.Vinculacao_Conta.Azul'!$B$1:$B$168,0),MATCH(A$1,'Plano.Vinculacao_Conta.Azul'!$A$1:$B$1,0)),"")</f>
        <v>Projeto Arca</v>
      </c>
      <c r="B172" s="109" t="s">
        <v>714</v>
      </c>
      <c r="C172" s="104">
        <v>4861</v>
      </c>
      <c r="D172" s="105" t="s">
        <v>47</v>
      </c>
      <c r="E172" s="106" t="s">
        <v>366</v>
      </c>
      <c r="F172" s="107">
        <v>6</v>
      </c>
      <c r="G172" s="108" t="s">
        <v>924</v>
      </c>
    </row>
    <row r="173" spans="1:7" x14ac:dyDescent="0.25">
      <c r="A173" s="129" t="str">
        <f>IFERROR(INDEX('Plano.Vinculacao_Conta.Azul'!$A$1:$B$168,MATCH(Tabela4[[#This Row],[Cod.Reduzido]],'Plano.Vinculacao_Conta.Azul'!$B$1:$B$168,0),MATCH(A$1,'Plano.Vinculacao_Conta.Azul'!$A$1:$B$1,0)),"")</f>
        <v>Projeto Entendendo a Biblia</v>
      </c>
      <c r="B173" s="109" t="s">
        <v>715</v>
      </c>
      <c r="C173" s="104">
        <v>6008</v>
      </c>
      <c r="D173" s="105" t="s">
        <v>48</v>
      </c>
      <c r="E173" s="106" t="s">
        <v>366</v>
      </c>
      <c r="F173" s="107">
        <v>6</v>
      </c>
      <c r="G173" s="108" t="s">
        <v>366</v>
      </c>
    </row>
    <row r="174" spans="1:7" x14ac:dyDescent="0.25">
      <c r="A174" s="129" t="str">
        <f>IFERROR(INDEX('Plano.Vinculacao_Conta.Azul'!$A$1:$B$168,MATCH(Tabela4[[#This Row],[Cod.Reduzido]],'Plano.Vinculacao_Conta.Azul'!$B$1:$B$168,0),MATCH(A$1,'Plano.Vinculacao_Conta.Azul'!$A$1:$B$1,0)),"")</f>
        <v>Projeto Expansao</v>
      </c>
      <c r="B174" s="109" t="s">
        <v>718</v>
      </c>
      <c r="C174" s="104">
        <v>7367</v>
      </c>
      <c r="D174" s="105" t="s">
        <v>196</v>
      </c>
      <c r="E174" s="106" t="s">
        <v>366</v>
      </c>
      <c r="F174" s="107">
        <v>6</v>
      </c>
      <c r="G174" s="108" t="s">
        <v>366</v>
      </c>
    </row>
    <row r="175" spans="1:7" x14ac:dyDescent="0.25">
      <c r="A175" s="129" t="str">
        <f>IFERROR(INDEX('Plano.Vinculacao_Conta.Azul'!$A$1:$B$168,MATCH(Tabela4[[#This Row],[Cod.Reduzido]],'Plano.Vinculacao_Conta.Azul'!$B$1:$B$168,0),MATCH(A$1,'Plano.Vinculacao_Conta.Azul'!$A$1:$B$1,0)),"")</f>
        <v>Projeto Livro na Minha Mao</v>
      </c>
      <c r="B175" s="109" t="s">
        <v>737</v>
      </c>
      <c r="C175" s="104">
        <v>4922</v>
      </c>
      <c r="D175" s="105" t="s">
        <v>736</v>
      </c>
      <c r="E175" s="106" t="s">
        <v>366</v>
      </c>
      <c r="F175" s="107">
        <v>6</v>
      </c>
      <c r="G175" s="108" t="s">
        <v>902</v>
      </c>
    </row>
    <row r="176" spans="1:7" x14ac:dyDescent="0.25">
      <c r="A176" s="129" t="str">
        <f>IFERROR(INDEX('Plano.Vinculacao_Conta.Azul'!$A$1:$B$168,MATCH(Tabela4[[#This Row],[Cod.Reduzido]],'Plano.Vinculacao_Conta.Azul'!$B$1:$B$168,0),MATCH(A$1,'Plano.Vinculacao_Conta.Azul'!$A$1:$B$1,0)),"")</f>
        <v>Aluguel do Auditorio</v>
      </c>
      <c r="B176" s="109" t="s">
        <v>651</v>
      </c>
      <c r="C176" s="104">
        <v>12604</v>
      </c>
      <c r="D176" s="105" t="s">
        <v>650</v>
      </c>
      <c r="E176" s="106" t="s">
        <v>233</v>
      </c>
      <c r="F176" s="107">
        <v>3</v>
      </c>
      <c r="G176" s="108" t="s">
        <v>233</v>
      </c>
    </row>
    <row r="177" spans="1:7" x14ac:dyDescent="0.25">
      <c r="A177" s="129" t="str">
        <f>IFERROR(INDEX('Plano.Vinculacao_Conta.Azul'!$A$1:$B$168,MATCH(Tabela4[[#This Row],[Cod.Reduzido]],'Plano.Vinculacao_Conta.Azul'!$B$1:$B$168,0),MATCH(A$1,'Plano.Vinculacao_Conta.Azul'!$A$1:$B$1,0)),"")</f>
        <v>Reembolso - Aulas de Musica</v>
      </c>
      <c r="B177" s="109" t="s">
        <v>649</v>
      </c>
      <c r="C177" s="104">
        <v>12603</v>
      </c>
      <c r="D177" s="105" t="s">
        <v>648</v>
      </c>
      <c r="E177" s="106" t="s">
        <v>233</v>
      </c>
      <c r="F177" s="107">
        <v>3</v>
      </c>
      <c r="G177" s="108" t="s">
        <v>233</v>
      </c>
    </row>
    <row r="178" spans="1:7" x14ac:dyDescent="0.25">
      <c r="A178" s="129" t="str">
        <f>IFERROR(INDEX('Plano.Vinculacao_Conta.Azul'!$A$1:$B$168,MATCH(Tabela4[[#This Row],[Cod.Reduzido]],'Plano.Vinculacao_Conta.Azul'!$B$1:$B$168,0),MATCH(A$1,'Plano.Vinculacao_Conta.Azul'!$A$1:$B$1,0)),"")</f>
        <v>Reembolso - Conducao e Transporte</v>
      </c>
      <c r="B178" s="109" t="s">
        <v>641</v>
      </c>
      <c r="C178" s="104">
        <v>12599</v>
      </c>
      <c r="D178" s="105" t="s">
        <v>640</v>
      </c>
      <c r="E178" s="106" t="s">
        <v>233</v>
      </c>
      <c r="F178" s="107">
        <v>3</v>
      </c>
      <c r="G178" s="108" t="s">
        <v>233</v>
      </c>
    </row>
    <row r="179" spans="1:7" x14ac:dyDescent="0.25">
      <c r="A179" s="129" t="str">
        <f>IFERROR(INDEX('Plano.Vinculacao_Conta.Azul'!$A$1:$B$168,MATCH(Tabela4[[#This Row],[Cod.Reduzido]],'Plano.Vinculacao_Conta.Azul'!$B$1:$B$168,0),MATCH(A$1,'Plano.Vinculacao_Conta.Azul'!$A$1:$B$1,0)),"")</f>
        <v>Reembolso - CEAPE</v>
      </c>
      <c r="B179" s="109" t="s">
        <v>930</v>
      </c>
      <c r="C179" s="104">
        <v>12598</v>
      </c>
      <c r="D179" s="105" t="s">
        <v>634</v>
      </c>
      <c r="E179" s="106" t="s">
        <v>233</v>
      </c>
      <c r="F179" s="107">
        <v>3</v>
      </c>
      <c r="G179" s="108" t="s">
        <v>233</v>
      </c>
    </row>
    <row r="180" spans="1:7" x14ac:dyDescent="0.25">
      <c r="A180" s="129" t="str">
        <f>IFERROR(INDEX('Plano.Vinculacao_Conta.Azul'!$A$1:$B$168,MATCH(Tabela4[[#This Row],[Cod.Reduzido]],'Plano.Vinculacao_Conta.Azul'!$B$1:$B$168,0),MATCH(A$1,'Plano.Vinculacao_Conta.Azul'!$A$1:$B$1,0)),"")</f>
        <v>Reembolso - Projeto Livro na Minha Mao</v>
      </c>
      <c r="B180" s="109" t="s">
        <v>643</v>
      </c>
      <c r="C180" s="104">
        <v>12602</v>
      </c>
      <c r="D180" s="105" t="s">
        <v>642</v>
      </c>
      <c r="E180" s="106" t="s">
        <v>233</v>
      </c>
      <c r="F180" s="107">
        <v>3</v>
      </c>
      <c r="G180" s="108" t="s">
        <v>902</v>
      </c>
    </row>
    <row r="181" spans="1:7" x14ac:dyDescent="0.25">
      <c r="A181" s="129" t="str">
        <f>IFERROR(INDEX('Plano.Vinculacao_Conta.Azul'!$A$1:$B$168,MATCH(Tabela4[[#This Row],[Cod.Reduzido]],'Plano.Vinculacao_Conta.Azul'!$B$1:$B$168,0),MATCH(A$1,'Plano.Vinculacao_Conta.Azul'!$A$1:$B$1,0)),"")</f>
        <v>Reembolso - Serviço de Jovem</v>
      </c>
      <c r="B181" s="109" t="s">
        <v>633</v>
      </c>
      <c r="C181" s="104">
        <v>11535</v>
      </c>
      <c r="D181" s="105" t="s">
        <v>632</v>
      </c>
      <c r="E181" s="106" t="s">
        <v>233</v>
      </c>
      <c r="F181" s="107">
        <v>3</v>
      </c>
      <c r="G181" s="108" t="s">
        <v>233</v>
      </c>
    </row>
    <row r="182" spans="1:7" x14ac:dyDescent="0.25">
      <c r="A182" s="129" t="str">
        <f>IFERROR(INDEX('Plano.Vinculacao_Conta.Azul'!$A$1:$B$168,MATCH(Tabela4[[#This Row],[Cod.Reduzido]],'Plano.Vinculacao_Conta.Azul'!$B$1:$B$168,0),MATCH(A$1,'Plano.Vinculacao_Conta.Azul'!$A$1:$B$1,0)),"")</f>
        <v>Reembolso de Literatura</v>
      </c>
      <c r="B182" s="109" t="s">
        <v>631</v>
      </c>
      <c r="C182" s="104">
        <v>7781</v>
      </c>
      <c r="D182" s="105" t="s">
        <v>630</v>
      </c>
      <c r="E182" s="106" t="s">
        <v>233</v>
      </c>
      <c r="F182" s="107">
        <v>3</v>
      </c>
      <c r="G182" s="108" t="s">
        <v>902</v>
      </c>
    </row>
    <row r="183" spans="1:7" x14ac:dyDescent="0.25">
      <c r="A183" s="129" t="str">
        <f>IFERROR(INDEX('Plano.Vinculacao_Conta.Azul'!$A$1:$B$168,MATCH(Tabela4[[#This Row],[Cod.Reduzido]],'Plano.Vinculacao_Conta.Azul'!$B$1:$B$168,0),MATCH(A$1,'Plano.Vinculacao_Conta.Azul'!$A$1:$B$1,0)),"")</f>
        <v/>
      </c>
      <c r="B183" s="109" t="s">
        <v>639</v>
      </c>
      <c r="C183" s="104">
        <v>13847</v>
      </c>
      <c r="D183" s="105" t="s">
        <v>638</v>
      </c>
      <c r="E183" s="106" t="s">
        <v>233</v>
      </c>
      <c r="F183" s="107">
        <v>3</v>
      </c>
      <c r="G183" s="108" t="s">
        <v>885</v>
      </c>
    </row>
    <row r="184" spans="1:7" x14ac:dyDescent="0.25">
      <c r="A184" s="129" t="str">
        <f>IFERROR(INDEX('Plano.Vinculacao_Conta.Azul'!$A$1:$B$168,MATCH(Tabela4[[#This Row],[Cod.Reduzido]],'Plano.Vinculacao_Conta.Azul'!$B$1:$B$168,0),MATCH(A$1,'Plano.Vinculacao_Conta.Azul'!$A$1:$B$1,0)),"")</f>
        <v>Reembolsos Diversos</v>
      </c>
      <c r="B184" s="109" t="s">
        <v>308</v>
      </c>
      <c r="C184" s="104">
        <v>6617</v>
      </c>
      <c r="D184" s="105" t="s">
        <v>652</v>
      </c>
      <c r="E184" s="106" t="s">
        <v>233</v>
      </c>
      <c r="F184" s="107">
        <v>3</v>
      </c>
      <c r="G184" s="108" t="s">
        <v>233</v>
      </c>
    </row>
    <row r="185" spans="1:7" x14ac:dyDescent="0.25">
      <c r="A185" s="129" t="str">
        <f>IFERROR(INDEX('Plano.Vinculacao_Conta.Azul'!$A$1:$B$168,MATCH(Tabela4[[#This Row],[Cod.Reduzido]],'Plano.Vinculacao_Conta.Azul'!$B$1:$B$168,0),MATCH(A$1,'Plano.Vinculacao_Conta.Azul'!$A$1:$B$1,0)),"")</f>
        <v/>
      </c>
      <c r="B185" s="103" t="s">
        <v>622</v>
      </c>
      <c r="C185" s="104">
        <v>8770</v>
      </c>
      <c r="D185" s="105" t="s">
        <v>100</v>
      </c>
      <c r="E185" s="106" t="s">
        <v>233</v>
      </c>
      <c r="F185" s="107">
        <v>3</v>
      </c>
      <c r="G185" s="108" t="s">
        <v>365</v>
      </c>
    </row>
    <row r="186" spans="1:7" x14ac:dyDescent="0.25">
      <c r="A186" s="129" t="str">
        <f>IFERROR(INDEX('Plano.Vinculacao_Conta.Azul'!$A$1:$B$168,MATCH(Tabela4[[#This Row],[Cod.Reduzido]],'Plano.Vinculacao_Conta.Azul'!$B$1:$B$168,0),MATCH(A$1,'Plano.Vinculacao_Conta.Azul'!$A$1:$B$1,0)),"")</f>
        <v/>
      </c>
      <c r="B186" s="103" t="s">
        <v>664</v>
      </c>
      <c r="C186" s="104">
        <v>12760</v>
      </c>
      <c r="D186" s="105" t="s">
        <v>663</v>
      </c>
      <c r="E186" s="106" t="s">
        <v>313</v>
      </c>
      <c r="F186" s="107">
        <v>4</v>
      </c>
      <c r="G186" s="108" t="s">
        <v>886</v>
      </c>
    </row>
    <row r="187" spans="1:7" x14ac:dyDescent="0.25">
      <c r="A187" s="129" t="str">
        <f>IFERROR(INDEX('Plano.Vinculacao_Conta.Azul'!$A$1:$B$168,MATCH(Tabela4[[#This Row],[Cod.Reduzido]],'Plano.Vinculacao_Conta.Azul'!$B$1:$B$168,0),MATCH(A$1,'Plano.Vinculacao_Conta.Azul'!$A$1:$B$1,0)),"")</f>
        <v>Rendimentos de Aplicacoes Financeiras</v>
      </c>
      <c r="B187" s="103" t="s">
        <v>102</v>
      </c>
      <c r="C187" s="104">
        <v>4707</v>
      </c>
      <c r="D187" s="105" t="s">
        <v>31</v>
      </c>
      <c r="E187" s="106" t="s">
        <v>233</v>
      </c>
      <c r="F187" s="107">
        <v>3</v>
      </c>
      <c r="G187" s="108" t="s">
        <v>365</v>
      </c>
    </row>
    <row r="188" spans="1:7" x14ac:dyDescent="0.25">
      <c r="A188" s="129" t="str">
        <f>IFERROR(INDEX('Plano.Vinculacao_Conta.Azul'!$A$1:$B$168,MATCH(Tabela4[[#This Row],[Cod.Reduzido]],'Plano.Vinculacao_Conta.Azul'!$B$1:$B$168,0),MATCH(A$1,'Plano.Vinculacao_Conta.Azul'!$A$1:$B$1,0)),"")</f>
        <v>Repasse de Oferta p/ Missoes</v>
      </c>
      <c r="B188" s="109" t="s">
        <v>739</v>
      </c>
      <c r="C188" s="104">
        <v>9411</v>
      </c>
      <c r="D188" s="105" t="s">
        <v>738</v>
      </c>
      <c r="E188" s="106" t="s">
        <v>366</v>
      </c>
      <c r="F188" s="107">
        <v>6</v>
      </c>
      <c r="G188" s="108" t="s">
        <v>924</v>
      </c>
    </row>
    <row r="189" spans="1:7" x14ac:dyDescent="0.25">
      <c r="A189" s="129" t="str">
        <f>IFERROR(INDEX('Plano.Vinculacao_Conta.Azul'!$A$1:$B$168,MATCH(Tabela4[[#This Row],[Cod.Reduzido]],'Plano.Vinculacao_Conta.Azul'!$B$1:$B$168,0),MATCH(A$1,'Plano.Vinculacao_Conta.Azul'!$A$1:$B$1,0)),"")</f>
        <v>Repasse inscricoes EAV - Conferencia</v>
      </c>
      <c r="B189" s="109" t="s">
        <v>920</v>
      </c>
      <c r="C189" s="104">
        <v>8881</v>
      </c>
      <c r="D189" s="105" t="s">
        <v>697</v>
      </c>
      <c r="E189" s="106" t="s">
        <v>313</v>
      </c>
      <c r="F189" s="107">
        <v>4</v>
      </c>
      <c r="G189" s="108" t="s">
        <v>887</v>
      </c>
    </row>
    <row r="190" spans="1:7" x14ac:dyDescent="0.25">
      <c r="A190" s="129" t="str">
        <f>IFERROR(INDEX('Plano.Vinculacao_Conta.Azul'!$A$1:$B$168,MATCH(Tabela4[[#This Row],[Cod.Reduzido]],'Plano.Vinculacao_Conta.Azul'!$B$1:$B$168,0),MATCH(A$1,'Plano.Vinculacao_Conta.Azul'!$A$1:$B$1,0)),"")</f>
        <v/>
      </c>
      <c r="B190" s="109" t="s">
        <v>693</v>
      </c>
      <c r="C190" s="104">
        <v>8697</v>
      </c>
      <c r="D190" s="105" t="s">
        <v>692</v>
      </c>
      <c r="E190" s="106" t="s">
        <v>313</v>
      </c>
      <c r="F190" s="107">
        <v>4</v>
      </c>
      <c r="G190" s="108" t="s">
        <v>887</v>
      </c>
    </row>
    <row r="191" spans="1:7" x14ac:dyDescent="0.25">
      <c r="A191" s="129" t="str">
        <f>IFERROR(INDEX('Plano.Vinculacao_Conta.Azul'!$A$1:$B$168,MATCH(Tabela4[[#This Row],[Cod.Reduzido]],'Plano.Vinculacao_Conta.Azul'!$B$1:$B$168,0),MATCH(A$1,'Plano.Vinculacao_Conta.Azul'!$A$1:$B$1,0)),"")</f>
        <v>Rescisao Contratual a Pagar</v>
      </c>
      <c r="B191" s="109" t="s">
        <v>749</v>
      </c>
      <c r="C191" s="104">
        <v>1146</v>
      </c>
      <c r="D191" s="105" t="s">
        <v>25</v>
      </c>
      <c r="E191" s="106" t="s">
        <v>367</v>
      </c>
      <c r="F191" s="107">
        <v>7</v>
      </c>
      <c r="G191" s="108" t="s">
        <v>364</v>
      </c>
    </row>
    <row r="192" spans="1:7" x14ac:dyDescent="0.25">
      <c r="A192" s="129" t="str">
        <f>IFERROR(INDEX('Plano.Vinculacao_Conta.Azul'!$A$1:$B$168,MATCH(Tabela4[[#This Row],[Cod.Reduzido]],'Plano.Vinculacao_Conta.Azul'!$B$1:$B$168,0),MATCH(A$1,'Plano.Vinculacao_Conta.Azul'!$A$1:$B$1,0)),"")</f>
        <v/>
      </c>
      <c r="B192" s="109" t="s">
        <v>749</v>
      </c>
      <c r="C192" s="104">
        <v>5115</v>
      </c>
      <c r="D192" s="105" t="s">
        <v>128</v>
      </c>
      <c r="E192" s="106" t="s">
        <v>367</v>
      </c>
      <c r="F192" s="107">
        <v>7</v>
      </c>
      <c r="G192" s="108" t="s">
        <v>364</v>
      </c>
    </row>
    <row r="193" spans="1:7" x14ac:dyDescent="0.25">
      <c r="A193" s="129" t="str">
        <f>IFERROR(INDEX('Plano.Vinculacao_Conta.Azul'!$A$1:$B$168,MATCH(Tabela4[[#This Row],[Cod.Reduzido]],'Plano.Vinculacao_Conta.Azul'!$B$1:$B$168,0),MATCH(A$1,'Plano.Vinculacao_Conta.Azul'!$A$1:$B$1,0)),"")</f>
        <v>Reunioes Especiais</v>
      </c>
      <c r="B193" s="109" t="s">
        <v>708</v>
      </c>
      <c r="C193" s="104">
        <v>4848</v>
      </c>
      <c r="D193" s="105" t="s">
        <v>41</v>
      </c>
      <c r="E193" s="106" t="s">
        <v>366</v>
      </c>
      <c r="F193" s="107">
        <v>6</v>
      </c>
      <c r="G193" s="108" t="s">
        <v>708</v>
      </c>
    </row>
    <row r="194" spans="1:7" x14ac:dyDescent="0.25">
      <c r="A194" s="129" t="str">
        <f>IFERROR(INDEX('Plano.Vinculacao_Conta.Azul'!$A$1:$B$168,MATCH(Tabela4[[#This Row],[Cod.Reduzido]],'Plano.Vinculacao_Conta.Azul'!$B$1:$B$168,0),MATCH(A$1,'Plano.Vinculacao_Conta.Azul'!$A$1:$B$1,0)),"")</f>
        <v>Adiantamento de Salario</v>
      </c>
      <c r="B194" s="109" t="s">
        <v>747</v>
      </c>
      <c r="C194" s="104">
        <v>193</v>
      </c>
      <c r="D194" s="105" t="s">
        <v>467</v>
      </c>
      <c r="E194" s="106" t="s">
        <v>367</v>
      </c>
      <c r="F194" s="107">
        <v>7</v>
      </c>
      <c r="G194" s="108" t="s">
        <v>364</v>
      </c>
    </row>
    <row r="195" spans="1:7" x14ac:dyDescent="0.25">
      <c r="A195" s="129" t="str">
        <f>IFERROR(INDEX('Plano.Vinculacao_Conta.Azul'!$A$1:$B$168,MATCH(Tabela4[[#This Row],[Cod.Reduzido]],'Plano.Vinculacao_Conta.Azul'!$B$1:$B$168,0),MATCH(A$1,'Plano.Vinculacao_Conta.Azul'!$A$1:$B$1,0)),"")</f>
        <v/>
      </c>
      <c r="B195" s="109" t="s">
        <v>747</v>
      </c>
      <c r="C195" s="104">
        <v>1123</v>
      </c>
      <c r="D195" s="105" t="s">
        <v>24</v>
      </c>
      <c r="E195" s="106" t="s">
        <v>367</v>
      </c>
      <c r="F195" s="107">
        <v>7</v>
      </c>
      <c r="G195" s="108" t="s">
        <v>364</v>
      </c>
    </row>
    <row r="196" spans="1:7" x14ac:dyDescent="0.25">
      <c r="A196" s="129" t="str">
        <f>IFERROR(INDEX('Plano.Vinculacao_Conta.Azul'!$A$1:$B$168,MATCH(Tabela4[[#This Row],[Cod.Reduzido]],'Plano.Vinculacao_Conta.Azul'!$B$1:$B$168,0),MATCH(A$1,'Plano.Vinculacao_Conta.Azul'!$A$1:$B$1,0)),"")</f>
        <v/>
      </c>
      <c r="B196" s="109" t="s">
        <v>747</v>
      </c>
      <c r="C196" s="104">
        <v>5078</v>
      </c>
      <c r="D196" s="105" t="s">
        <v>120</v>
      </c>
      <c r="E196" s="106" t="s">
        <v>367</v>
      </c>
      <c r="F196" s="107">
        <v>7</v>
      </c>
      <c r="G196" s="108" t="s">
        <v>364</v>
      </c>
    </row>
    <row r="197" spans="1:7" x14ac:dyDescent="0.25">
      <c r="A197" s="129" t="str">
        <f>IFERROR(INDEX('Plano.Vinculacao_Conta.Azul'!$A$1:$B$168,MATCH(Tabela4[[#This Row],[Cod.Reduzido]],'Plano.Vinculacao_Conta.Azul'!$B$1:$B$168,0),MATCH(A$1,'Plano.Vinculacao_Conta.Azul'!$A$1:$B$1,0)),"")</f>
        <v>Seguranca Eletronica</v>
      </c>
      <c r="B197" s="109" t="s">
        <v>782</v>
      </c>
      <c r="C197" s="104">
        <v>13051</v>
      </c>
      <c r="D197" s="105" t="s">
        <v>781</v>
      </c>
      <c r="E197" s="106" t="s">
        <v>367</v>
      </c>
      <c r="F197" s="107">
        <v>7</v>
      </c>
      <c r="G197" s="108" t="s">
        <v>258</v>
      </c>
    </row>
    <row r="198" spans="1:7" x14ac:dyDescent="0.25">
      <c r="A198" s="129" t="str">
        <f>IFERROR(INDEX('Plano.Vinculacao_Conta.Azul'!$A$1:$B$168,MATCH(Tabela4[[#This Row],[Cod.Reduzido]],'Plano.Vinculacao_Conta.Azul'!$B$1:$B$168,0),MATCH(A$1,'Plano.Vinculacao_Conta.Azul'!$A$1:$B$1,0)),"")</f>
        <v>Seguro de Vida em Grupo</v>
      </c>
      <c r="B198" s="109" t="s">
        <v>921</v>
      </c>
      <c r="C198" s="104">
        <v>8645</v>
      </c>
      <c r="D198" s="105" t="s">
        <v>21</v>
      </c>
      <c r="E198" s="106" t="s">
        <v>367</v>
      </c>
      <c r="F198" s="107">
        <v>7</v>
      </c>
      <c r="G198" s="108" t="s">
        <v>368</v>
      </c>
    </row>
    <row r="199" spans="1:7" x14ac:dyDescent="0.25">
      <c r="A199" s="129" t="str">
        <f>IFERROR(INDEX('Plano.Vinculacao_Conta.Azul'!$A$1:$B$168,MATCH(Tabela4[[#This Row],[Cod.Reduzido]],'Plano.Vinculacao_Conta.Azul'!$B$1:$B$168,0),MATCH(A$1,'Plano.Vinculacao_Conta.Azul'!$A$1:$B$1,0)),"")</f>
        <v/>
      </c>
      <c r="B199" s="109" t="s">
        <v>921</v>
      </c>
      <c r="C199" s="104">
        <v>8639</v>
      </c>
      <c r="D199" s="105" t="s">
        <v>210</v>
      </c>
      <c r="E199" s="106" t="s">
        <v>367</v>
      </c>
      <c r="F199" s="107">
        <v>7</v>
      </c>
      <c r="G199" s="108" t="s">
        <v>364</v>
      </c>
    </row>
    <row r="200" spans="1:7" x14ac:dyDescent="0.25">
      <c r="A200" s="129" t="str">
        <f>IFERROR(INDEX('Plano.Vinculacao_Conta.Azul'!$A$1:$B$168,MATCH(Tabela4[[#This Row],[Cod.Reduzido]],'Plano.Vinculacao_Conta.Azul'!$B$1:$B$168,0),MATCH(A$1,'Plano.Vinculacao_Conta.Azul'!$A$1:$B$1,0)),"")</f>
        <v>Seguros de Veiculos</v>
      </c>
      <c r="B200" s="109" t="s">
        <v>777</v>
      </c>
      <c r="C200" s="104">
        <v>12813</v>
      </c>
      <c r="D200" s="105" t="s">
        <v>776</v>
      </c>
      <c r="E200" s="106" t="s">
        <v>367</v>
      </c>
      <c r="F200" s="107">
        <v>7</v>
      </c>
      <c r="G200" s="108" t="s">
        <v>258</v>
      </c>
    </row>
    <row r="201" spans="1:7" x14ac:dyDescent="0.25">
      <c r="A201" s="129" t="str">
        <f>IFERROR(INDEX('Plano.Vinculacao_Conta.Azul'!$A$1:$B$168,MATCH(Tabela4[[#This Row],[Cod.Reduzido]],'Plano.Vinculacao_Conta.Azul'!$B$1:$B$168,0),MATCH(A$1,'Plano.Vinculacao_Conta.Azul'!$A$1:$B$1,0)),"")</f>
        <v>Servico da Mesa e Ceia</v>
      </c>
      <c r="B201" s="109" t="s">
        <v>719</v>
      </c>
      <c r="C201" s="104">
        <v>7841</v>
      </c>
      <c r="D201" s="105" t="s">
        <v>286</v>
      </c>
      <c r="E201" s="106" t="s">
        <v>366</v>
      </c>
      <c r="F201" s="107">
        <v>6</v>
      </c>
      <c r="G201" s="108" t="s">
        <v>366</v>
      </c>
    </row>
    <row r="202" spans="1:7" x14ac:dyDescent="0.25">
      <c r="A202" s="129" t="str">
        <f>IFERROR(INDEX('Plano.Vinculacao_Conta.Azul'!$A$1:$B$168,MATCH(Tabela4[[#This Row],[Cod.Reduzido]],'Plano.Vinculacao_Conta.Azul'!$B$1:$B$168,0),MATCH(A$1,'Plano.Vinculacao_Conta.Azul'!$A$1:$B$1,0)),"")</f>
        <v>Servico de Literatura</v>
      </c>
      <c r="B202" s="109" t="s">
        <v>711</v>
      </c>
      <c r="C202" s="104">
        <v>4921</v>
      </c>
      <c r="D202" s="105" t="s">
        <v>44</v>
      </c>
      <c r="E202" s="106" t="s">
        <v>366</v>
      </c>
      <c r="F202" s="107">
        <v>6</v>
      </c>
      <c r="G202" s="108" t="s">
        <v>902</v>
      </c>
    </row>
    <row r="203" spans="1:7" x14ac:dyDescent="0.25">
      <c r="A203" s="129" t="str">
        <f>IFERROR(INDEX('Plano.Vinculacao_Conta.Azul'!$A$1:$B$168,MATCH(Tabela4[[#This Row],[Cod.Reduzido]],'Plano.Vinculacao_Conta.Azul'!$B$1:$B$168,0),MATCH(A$1,'Plano.Vinculacao_Conta.Azul'!$A$1:$B$1,0)),"")</f>
        <v>Servico de Audio e Video</v>
      </c>
      <c r="B203" s="109" t="s">
        <v>709</v>
      </c>
      <c r="C203" s="104">
        <v>4908</v>
      </c>
      <c r="D203" s="105" t="s">
        <v>42</v>
      </c>
      <c r="E203" s="106" t="s">
        <v>366</v>
      </c>
      <c r="F203" s="107">
        <v>6</v>
      </c>
      <c r="G203" s="108" t="s">
        <v>366</v>
      </c>
    </row>
    <row r="204" spans="1:7" x14ac:dyDescent="0.25">
      <c r="A204" s="129" t="str">
        <f>IFERROR(INDEX('Plano.Vinculacao_Conta.Azul'!$A$1:$B$168,MATCH(Tabela4[[#This Row],[Cod.Reduzido]],'Plano.Vinculacao_Conta.Azul'!$B$1:$B$168,0),MATCH(A$1,'Plano.Vinculacao_Conta.Azul'!$A$1:$B$1,0)),"")</f>
        <v>Servico de Cozinha e Alimentacao - Conferencia</v>
      </c>
      <c r="B204" s="109" t="s">
        <v>677</v>
      </c>
      <c r="C204" s="104">
        <v>8409</v>
      </c>
      <c r="D204" s="105" t="s">
        <v>676</v>
      </c>
      <c r="E204" s="106" t="s">
        <v>313</v>
      </c>
      <c r="F204" s="107">
        <v>4</v>
      </c>
      <c r="G204" s="108" t="s">
        <v>887</v>
      </c>
    </row>
    <row r="205" spans="1:7" x14ac:dyDescent="0.25">
      <c r="A205" s="129" t="str">
        <f>IFERROR(INDEX('Plano.Vinculacao_Conta.Azul'!$A$1:$B$168,MATCH(Tabela4[[#This Row],[Cod.Reduzido]],'Plano.Vinculacao_Conta.Azul'!$B$1:$B$168,0),MATCH(A$1,'Plano.Vinculacao_Conta.Azul'!$A$1:$B$1,0)),"")</f>
        <v/>
      </c>
      <c r="B205" s="109" t="s">
        <v>677</v>
      </c>
      <c r="C205" s="104">
        <v>13178</v>
      </c>
      <c r="D205" s="105" t="s">
        <v>732</v>
      </c>
      <c r="E205" s="106" t="s">
        <v>366</v>
      </c>
      <c r="F205" s="107">
        <v>6</v>
      </c>
      <c r="G205" s="108" t="s">
        <v>903</v>
      </c>
    </row>
    <row r="206" spans="1:7" x14ac:dyDescent="0.25">
      <c r="A206" s="129" t="str">
        <f>IFERROR(INDEX('Plano.Vinculacao_Conta.Azul'!$A$1:$B$168,MATCH(Tabela4[[#This Row],[Cod.Reduzido]],'Plano.Vinculacao_Conta.Azul'!$B$1:$B$168,0),MATCH(A$1,'Plano.Vinculacao_Conta.Azul'!$A$1:$B$1,0)),"")</f>
        <v>Servico Cozinha - Alimentacao e Refeitorio</v>
      </c>
      <c r="B206" s="109" t="s">
        <v>677</v>
      </c>
      <c r="C206" s="104">
        <v>13184</v>
      </c>
      <c r="D206" s="105" t="s">
        <v>734</v>
      </c>
      <c r="E206" s="106" t="s">
        <v>366</v>
      </c>
      <c r="F206" s="107">
        <v>6</v>
      </c>
      <c r="G206" s="108" t="s">
        <v>903</v>
      </c>
    </row>
    <row r="207" spans="1:7" x14ac:dyDescent="0.25">
      <c r="A207" s="129" t="str">
        <f>IFERROR(INDEX('Plano.Vinculacao_Conta.Azul'!$A$1:$B$168,MATCH(Tabela4[[#This Row],[Cod.Reduzido]],'Plano.Vinculacao_Conta.Azul'!$B$1:$B$168,0),MATCH(A$1,'Plano.Vinculacao_Conta.Azul'!$A$1:$B$1,0)),"")</f>
        <v>Servico de Criancas - Conferencia</v>
      </c>
      <c r="B207" s="109" t="s">
        <v>679</v>
      </c>
      <c r="C207" s="104">
        <v>8415</v>
      </c>
      <c r="D207" s="105" t="s">
        <v>678</v>
      </c>
      <c r="E207" s="106" t="s">
        <v>313</v>
      </c>
      <c r="F207" s="107">
        <v>4</v>
      </c>
      <c r="G207" s="108" t="s">
        <v>887</v>
      </c>
    </row>
    <row r="208" spans="1:7" x14ac:dyDescent="0.25">
      <c r="A208" s="129" t="str">
        <f>IFERROR(INDEX('Plano.Vinculacao_Conta.Azul'!$A$1:$B$168,MATCH(Tabela4[[#This Row],[Cod.Reduzido]],'Plano.Vinculacao_Conta.Azul'!$B$1:$B$168,0),MATCH(A$1,'Plano.Vinculacao_Conta.Azul'!$A$1:$B$1,0)),"")</f>
        <v>Servico de Criancas</v>
      </c>
      <c r="B208" s="109" t="s">
        <v>679</v>
      </c>
      <c r="C208" s="104">
        <v>4825</v>
      </c>
      <c r="D208" s="105" t="s">
        <v>39</v>
      </c>
      <c r="E208" s="106" t="s">
        <v>366</v>
      </c>
      <c r="F208" s="107">
        <v>6</v>
      </c>
      <c r="G208" s="108" t="s">
        <v>366</v>
      </c>
    </row>
    <row r="209" spans="1:7" x14ac:dyDescent="0.25">
      <c r="A209" s="129" t="str">
        <f>IFERROR(INDEX('Plano.Vinculacao_Conta.Azul'!$A$1:$B$168,MATCH(Tabela4[[#This Row],[Cod.Reduzido]],'Plano.Vinculacao_Conta.Azul'!$B$1:$B$168,0),MATCH(A$1,'Plano.Vinculacao_Conta.Azul'!$A$1:$B$1,0)),"")</f>
        <v>Servico de Inscricao - Conferencia</v>
      </c>
      <c r="B209" s="109" t="s">
        <v>683</v>
      </c>
      <c r="C209" s="104">
        <v>8438</v>
      </c>
      <c r="D209" s="105" t="s">
        <v>682</v>
      </c>
      <c r="E209" s="106" t="s">
        <v>313</v>
      </c>
      <c r="F209" s="107">
        <v>4</v>
      </c>
      <c r="G209" s="108" t="s">
        <v>887</v>
      </c>
    </row>
    <row r="210" spans="1:7" x14ac:dyDescent="0.25">
      <c r="A210" s="129" t="str">
        <f>IFERROR(INDEX('Plano.Vinculacao_Conta.Azul'!$A$1:$B$168,MATCH(Tabela4[[#This Row],[Cod.Reduzido]],'Plano.Vinculacao_Conta.Azul'!$B$1:$B$168,0),MATCH(A$1,'Plano.Vinculacao_Conta.Azul'!$A$1:$B$1,0)),"")</f>
        <v>Servico de Jovens</v>
      </c>
      <c r="B210" s="109" t="s">
        <v>707</v>
      </c>
      <c r="C210" s="104">
        <v>4831</v>
      </c>
      <c r="D210" s="105" t="s">
        <v>40</v>
      </c>
      <c r="E210" s="106" t="s">
        <v>366</v>
      </c>
      <c r="F210" s="107">
        <v>6</v>
      </c>
      <c r="G210" s="108" t="s">
        <v>366</v>
      </c>
    </row>
    <row r="211" spans="1:7" x14ac:dyDescent="0.25">
      <c r="A211" s="129" t="str">
        <f>IFERROR(INDEX('Plano.Vinculacao_Conta.Azul'!$A$1:$B$168,MATCH(Tabela4[[#This Row],[Cod.Reduzido]],'Plano.Vinculacao_Conta.Azul'!$B$1:$B$168,0),MATCH(A$1,'Plano.Vinculacao_Conta.Azul'!$A$1:$B$1,0)),"")</f>
        <v>Servico de Musica e Som</v>
      </c>
      <c r="B211" s="109" t="s">
        <v>710</v>
      </c>
      <c r="C211" s="104">
        <v>4914</v>
      </c>
      <c r="D211" s="105" t="s">
        <v>43</v>
      </c>
      <c r="E211" s="106" t="s">
        <v>366</v>
      </c>
      <c r="F211" s="107">
        <v>6</v>
      </c>
      <c r="G211" s="108" t="s">
        <v>366</v>
      </c>
    </row>
    <row r="212" spans="1:7" x14ac:dyDescent="0.25">
      <c r="A212" s="129" t="str">
        <f>IFERROR(INDEX('Plano.Vinculacao_Conta.Azul'!$A$1:$B$168,MATCH(Tabela4[[#This Row],[Cod.Reduzido]],'Plano.Vinculacao_Conta.Azul'!$B$1:$B$168,0),MATCH(A$1,'Plano.Vinculacao_Conta.Azul'!$A$1:$B$1,0)),"")</f>
        <v>Servico de Seguranca</v>
      </c>
      <c r="B212" s="109" t="s">
        <v>712</v>
      </c>
      <c r="C212" s="104">
        <v>4937</v>
      </c>
      <c r="D212" s="105" t="s">
        <v>45</v>
      </c>
      <c r="E212" s="106" t="s">
        <v>366</v>
      </c>
      <c r="F212" s="107">
        <v>6</v>
      </c>
      <c r="G212" s="108" t="s">
        <v>366</v>
      </c>
    </row>
    <row r="213" spans="1:7" x14ac:dyDescent="0.25">
      <c r="A213" s="129" t="str">
        <f>IFERROR(INDEX('Plano.Vinculacao_Conta.Azul'!$A$1:$B$168,MATCH(Tabela4[[#This Row],[Cod.Reduzido]],'Plano.Vinculacao_Conta.Azul'!$B$1:$B$168,0),MATCH(A$1,'Plano.Vinculacao_Conta.Azul'!$A$1:$B$1,0)),"")</f>
        <v/>
      </c>
      <c r="B213" s="109" t="s">
        <v>681</v>
      </c>
      <c r="C213" s="104">
        <v>8421</v>
      </c>
      <c r="D213" s="105" t="s">
        <v>680</v>
      </c>
      <c r="E213" s="106" t="s">
        <v>313</v>
      </c>
      <c r="F213" s="107">
        <v>4</v>
      </c>
      <c r="G213" s="108" t="s">
        <v>887</v>
      </c>
    </row>
    <row r="214" spans="1:7" x14ac:dyDescent="0.25">
      <c r="A214" s="129" t="str">
        <f>IFERROR(INDEX('Plano.Vinculacao_Conta.Azul'!$A$1:$B$168,MATCH(Tabela4[[#This Row],[Cod.Reduzido]],'Plano.Vinculacao_Conta.Azul'!$B$1:$B$168,0),MATCH(A$1,'Plano.Vinculacao_Conta.Azul'!$A$1:$B$1,0)),"")</f>
        <v>Servicos Graficos - Conferencia</v>
      </c>
      <c r="B214" s="109" t="s">
        <v>700</v>
      </c>
      <c r="C214" s="104">
        <v>9596</v>
      </c>
      <c r="D214" s="105" t="s">
        <v>699</v>
      </c>
      <c r="E214" s="106" t="s">
        <v>313</v>
      </c>
      <c r="F214" s="107">
        <v>4</v>
      </c>
      <c r="G214" s="108" t="s">
        <v>887</v>
      </c>
    </row>
    <row r="215" spans="1:7" x14ac:dyDescent="0.25">
      <c r="A215" s="129" t="str">
        <f>IFERROR(INDEX('Plano.Vinculacao_Conta.Azul'!$A$1:$B$168,MATCH(Tabela4[[#This Row],[Cod.Reduzido]],'Plano.Vinculacao_Conta.Azul'!$B$1:$B$168,0),MATCH(A$1,'Plano.Vinculacao_Conta.Azul'!$A$1:$B$1,0)),"")</f>
        <v>Servicos Graficos e Encardenacoes</v>
      </c>
      <c r="B215" s="109" t="s">
        <v>179</v>
      </c>
      <c r="C215" s="104">
        <v>5687</v>
      </c>
      <c r="D215" s="105" t="s">
        <v>765</v>
      </c>
      <c r="E215" s="106" t="s">
        <v>367</v>
      </c>
      <c r="F215" s="107">
        <v>7</v>
      </c>
      <c r="G215" s="108" t="s">
        <v>258</v>
      </c>
    </row>
    <row r="216" spans="1:7" x14ac:dyDescent="0.25">
      <c r="A216" s="129" t="str">
        <f>IFERROR(INDEX('Plano.Vinculacao_Conta.Azul'!$A$1:$B$168,MATCH(Tabela4[[#This Row],[Cod.Reduzido]],'Plano.Vinculacao_Conta.Azul'!$B$1:$B$168,0),MATCH(A$1,'Plano.Vinculacao_Conta.Azul'!$A$1:$B$1,0)),"")</f>
        <v>Servicos Profissionais e Contratados</v>
      </c>
      <c r="B216" s="109" t="s">
        <v>762</v>
      </c>
      <c r="C216" s="104">
        <v>5227</v>
      </c>
      <c r="D216" s="105" t="s">
        <v>761</v>
      </c>
      <c r="E216" s="106" t="s">
        <v>367</v>
      </c>
      <c r="F216" s="107">
        <v>7</v>
      </c>
      <c r="G216" s="108" t="s">
        <v>258</v>
      </c>
    </row>
    <row r="217" spans="1:7" x14ac:dyDescent="0.25">
      <c r="A217" s="129" t="str">
        <f>IFERROR(INDEX('Plano.Vinculacao_Conta.Azul'!$A$1:$B$168,MATCH(Tabela4[[#This Row],[Cod.Reduzido]],'Plano.Vinculacao_Conta.Azul'!$B$1:$B$168,0),MATCH(A$1,'Plano.Vinculacao_Conta.Azul'!$A$1:$B$1,0)),"")</f>
        <v/>
      </c>
      <c r="B217" s="109" t="s">
        <v>525</v>
      </c>
      <c r="C217" s="104">
        <v>10302</v>
      </c>
      <c r="D217" s="105" t="s">
        <v>524</v>
      </c>
      <c r="E217" s="106" t="s">
        <v>359</v>
      </c>
      <c r="F217" s="107">
        <v>1</v>
      </c>
      <c r="G217" s="108" t="s">
        <v>923</v>
      </c>
    </row>
    <row r="218" spans="1:7" x14ac:dyDescent="0.25">
      <c r="A218" s="129" t="str">
        <f>IFERROR(INDEX('Plano.Vinculacao_Conta.Azul'!$A$1:$B$168,MATCH(Tabela4[[#This Row],[Cod.Reduzido]],'Plano.Vinculacao_Conta.Azul'!$B$1:$B$168,0),MATCH(A$1,'Plano.Vinculacao_Conta.Azul'!$A$1:$B$1,0)),"")</f>
        <v>Taxa Administracao Cartoes</v>
      </c>
      <c r="B218" s="109" t="s">
        <v>858</v>
      </c>
      <c r="C218" s="104">
        <v>7984</v>
      </c>
      <c r="D218" s="105" t="s">
        <v>857</v>
      </c>
      <c r="E218" s="106" t="s">
        <v>962</v>
      </c>
      <c r="F218" s="107">
        <v>8</v>
      </c>
      <c r="G218" s="108" t="s">
        <v>369</v>
      </c>
    </row>
    <row r="219" spans="1:7" x14ac:dyDescent="0.25">
      <c r="A219" s="129" t="str">
        <f>IFERROR(INDEX('Plano.Vinculacao_Conta.Azul'!$A$1:$B$168,MATCH(Tabela4[[#This Row],[Cod.Reduzido]],'Plano.Vinculacao_Conta.Azul'!$B$1:$B$168,0),MATCH(A$1,'Plano.Vinculacao_Conta.Azul'!$A$1:$B$1,0)),"")</f>
        <v>Telefone Celular</v>
      </c>
      <c r="B219" s="103" t="s">
        <v>780</v>
      </c>
      <c r="C219" s="104">
        <v>13050</v>
      </c>
      <c r="D219" s="105" t="s">
        <v>779</v>
      </c>
      <c r="E219" s="106" t="s">
        <v>367</v>
      </c>
      <c r="F219" s="107">
        <v>7</v>
      </c>
      <c r="G219" s="108" t="s">
        <v>258</v>
      </c>
    </row>
    <row r="220" spans="1:7" x14ac:dyDescent="0.25">
      <c r="A220" s="129" t="str">
        <f>IFERROR(INDEX('Plano.Vinculacao_Conta.Azul'!$A$1:$B$168,MATCH(Tabela4[[#This Row],[Cod.Reduzido]],'Plano.Vinculacao_Conta.Azul'!$B$1:$B$168,0),MATCH(A$1,'Plano.Vinculacao_Conta.Azul'!$A$1:$B$1,0)),"")</f>
        <v>Terrenos</v>
      </c>
      <c r="B220" s="109" t="s">
        <v>65</v>
      </c>
      <c r="C220" s="104">
        <v>684</v>
      </c>
      <c r="D220" s="105" t="s">
        <v>478</v>
      </c>
      <c r="E220" s="106" t="s">
        <v>359</v>
      </c>
      <c r="F220" s="107">
        <v>1</v>
      </c>
      <c r="G220" s="108" t="s">
        <v>923</v>
      </c>
    </row>
    <row r="221" spans="1:7" x14ac:dyDescent="0.25">
      <c r="A221" s="129" t="str">
        <f>IFERROR(INDEX('Plano.Vinculacao_Conta.Azul'!$A$1:$B$168,MATCH(Tabela4[[#This Row],[Cod.Reduzido]],'Plano.Vinculacao_Conta.Azul'!$B$1:$B$168,0),MATCH(A$1,'Plano.Vinculacao_Conta.Azul'!$A$1:$B$1,0)),"")</f>
        <v>Transporte de Conferencias</v>
      </c>
      <c r="B221" s="109" t="s">
        <v>660</v>
      </c>
      <c r="C221" s="104">
        <v>8355</v>
      </c>
      <c r="D221" s="105" t="s">
        <v>659</v>
      </c>
      <c r="E221" s="106" t="s">
        <v>313</v>
      </c>
      <c r="F221" s="107">
        <v>4</v>
      </c>
      <c r="G221" s="108" t="s">
        <v>886</v>
      </c>
    </row>
    <row r="222" spans="1:7" x14ac:dyDescent="0.25">
      <c r="A222" s="129" t="str">
        <f>IFERROR(INDEX('Plano.Vinculacao_Conta.Azul'!$A$1:$B$168,MATCH(Tabela4[[#This Row],[Cod.Reduzido]],'Plano.Vinculacao_Conta.Azul'!$B$1:$B$168,0),MATCH(A$1,'Plano.Vinculacao_Conta.Azul'!$A$1:$B$1,0)),"")</f>
        <v/>
      </c>
      <c r="B222" s="109" t="s">
        <v>660</v>
      </c>
      <c r="C222" s="104">
        <v>8830</v>
      </c>
      <c r="D222" s="105" t="s">
        <v>696</v>
      </c>
      <c r="E222" s="106" t="s">
        <v>313</v>
      </c>
      <c r="F222" s="107">
        <v>4</v>
      </c>
      <c r="G222" s="108" t="s">
        <v>887</v>
      </c>
    </row>
    <row r="223" spans="1:7" x14ac:dyDescent="0.25">
      <c r="A223" s="129" t="str">
        <f>IFERROR(INDEX('Plano.Vinculacao_Conta.Azul'!$A$1:$B$168,MATCH(Tabela4[[#This Row],[Cod.Reduzido]],'Plano.Vinculacao_Conta.Azul'!$B$1:$B$168,0),MATCH(A$1,'Plano.Vinculacao_Conta.Azul'!$A$1:$B$1,0)),"")</f>
        <v>Transporte de Empregados</v>
      </c>
      <c r="B223" s="109" t="s">
        <v>751</v>
      </c>
      <c r="C223" s="104">
        <v>5144</v>
      </c>
      <c r="D223" s="105" t="s">
        <v>52</v>
      </c>
      <c r="E223" s="106" t="s">
        <v>367</v>
      </c>
      <c r="F223" s="107">
        <v>7</v>
      </c>
      <c r="G223" s="108" t="s">
        <v>364</v>
      </c>
    </row>
    <row r="224" spans="1:7" x14ac:dyDescent="0.25">
      <c r="A224" s="129" t="str">
        <f>IFERROR(INDEX('Plano.Vinculacao_Conta.Azul'!$A$1:$B$168,MATCH(Tabela4[[#This Row],[Cod.Reduzido]],'Plano.Vinculacao_Conta.Azul'!$B$1:$B$168,0),MATCH(A$1,'Plano.Vinculacao_Conta.Azul'!$A$1:$B$1,0)),"")</f>
        <v>Tributos Estaduais</v>
      </c>
      <c r="B224" s="109" t="s">
        <v>864</v>
      </c>
      <c r="C224" s="104">
        <v>5322</v>
      </c>
      <c r="D224" s="105" t="s">
        <v>863</v>
      </c>
      <c r="E224" s="106" t="s">
        <v>962</v>
      </c>
      <c r="F224" s="107">
        <v>8</v>
      </c>
      <c r="G224" s="108" t="s">
        <v>963</v>
      </c>
    </row>
    <row r="225" spans="1:7" x14ac:dyDescent="0.25">
      <c r="A225" s="129" t="str">
        <f>IFERROR(INDEX('Plano.Vinculacao_Conta.Azul'!$A$1:$B$168,MATCH(Tabela4[[#This Row],[Cod.Reduzido]],'Plano.Vinculacao_Conta.Azul'!$B$1:$B$168,0),MATCH(A$1,'Plano.Vinculacao_Conta.Azul'!$A$1:$B$1,0)),"")</f>
        <v>Tributos Federais</v>
      </c>
      <c r="B225" s="109" t="s">
        <v>866</v>
      </c>
      <c r="C225" s="104">
        <v>5339</v>
      </c>
      <c r="D225" s="105" t="s">
        <v>865</v>
      </c>
      <c r="E225" s="106" t="s">
        <v>962</v>
      </c>
      <c r="F225" s="107">
        <v>8</v>
      </c>
      <c r="G225" s="108" t="s">
        <v>963</v>
      </c>
    </row>
    <row r="226" spans="1:7" x14ac:dyDescent="0.25">
      <c r="A226" s="129" t="str">
        <f>IFERROR(INDEX('Plano.Vinculacao_Conta.Azul'!$A$1:$B$168,MATCH(Tabela4[[#This Row],[Cod.Reduzido]],'Plano.Vinculacao_Conta.Azul'!$B$1:$B$168,0),MATCH(A$1,'Plano.Vinculacao_Conta.Azul'!$A$1:$B$1,0)),"")</f>
        <v/>
      </c>
      <c r="B226" s="109" t="s">
        <v>866</v>
      </c>
      <c r="C226" s="104">
        <v>7806</v>
      </c>
      <c r="D226" s="105" t="s">
        <v>869</v>
      </c>
      <c r="E226" s="106" t="s">
        <v>962</v>
      </c>
      <c r="F226" s="107">
        <v>8</v>
      </c>
      <c r="G226" s="108" t="s">
        <v>963</v>
      </c>
    </row>
    <row r="227" spans="1:7" x14ac:dyDescent="0.25">
      <c r="A227" s="129" t="str">
        <f>IFERROR(INDEX('Plano.Vinculacao_Conta.Azul'!$A$1:$B$168,MATCH(Tabela4[[#This Row],[Cod.Reduzido]],'Plano.Vinculacao_Conta.Azul'!$B$1:$B$168,0),MATCH(A$1,'Plano.Vinculacao_Conta.Azul'!$A$1:$B$1,0)),"")</f>
        <v>Tributos Municipais</v>
      </c>
      <c r="B227" s="109" t="s">
        <v>862</v>
      </c>
      <c r="C227" s="104">
        <v>5316</v>
      </c>
      <c r="D227" s="105" t="s">
        <v>861</v>
      </c>
      <c r="E227" s="106" t="s">
        <v>962</v>
      </c>
      <c r="F227" s="107">
        <v>8</v>
      </c>
      <c r="G227" s="108" t="s">
        <v>963</v>
      </c>
    </row>
    <row r="228" spans="1:7" x14ac:dyDescent="0.25">
      <c r="A228" s="129" t="str">
        <f>IFERROR(INDEX('Plano.Vinculacao_Conta.Azul'!$A$1:$B$168,MATCH(Tabela4[[#This Row],[Cod.Reduzido]],'Plano.Vinculacao_Conta.Azul'!$B$1:$B$168,0),MATCH(A$1,'Plano.Vinculacao_Conta.Azul'!$A$1:$B$1,0)),"")</f>
        <v>Veiculos</v>
      </c>
      <c r="B228" s="109" t="s">
        <v>67</v>
      </c>
      <c r="C228" s="104">
        <v>4417</v>
      </c>
      <c r="D228" s="105" t="s">
        <v>486</v>
      </c>
      <c r="E228" s="106" t="s">
        <v>359</v>
      </c>
      <c r="F228" s="107">
        <v>1</v>
      </c>
      <c r="G228" s="108" t="s">
        <v>923</v>
      </c>
    </row>
    <row r="229" spans="1:7" x14ac:dyDescent="0.25">
      <c r="A229" s="129" t="str">
        <f>IFERROR(INDEX('Plano.Vinculacao_Conta.Azul'!$A$1:$B$168,MATCH(Tabela4[[#This Row],[Cod.Reduzido]],'Plano.Vinculacao_Conta.Azul'!$B$1:$B$168,0),MATCH(A$1,'Plano.Vinculacao_Conta.Azul'!$A$1:$B$1,0)),"")</f>
        <v>Venda de Ativo Permanente</v>
      </c>
      <c r="B229" s="109" t="s">
        <v>876</v>
      </c>
      <c r="C229" s="104">
        <v>5405</v>
      </c>
      <c r="D229" s="105" t="s">
        <v>64</v>
      </c>
      <c r="E229" s="106" t="s">
        <v>233</v>
      </c>
      <c r="F229" s="107">
        <v>3</v>
      </c>
      <c r="G229" s="108" t="s">
        <v>901</v>
      </c>
    </row>
    <row r="230" spans="1:7" x14ac:dyDescent="0.25">
      <c r="A230" s="129" t="str">
        <f>IFERROR(INDEX('Plano.Vinculacao_Conta.Azul'!$A$1:$B$168,MATCH(Tabela4[[#This Row],[Cod.Reduzido]],'Plano.Vinculacao_Conta.Azul'!$B$1:$B$168,0),MATCH(A$1,'Plano.Vinculacao_Conta.Azul'!$A$1:$B$1,0)),"")</f>
        <v>Vendas Bookafe - Casa 01</v>
      </c>
      <c r="B230" s="109" t="s">
        <v>637</v>
      </c>
      <c r="C230" s="104">
        <v>12731</v>
      </c>
      <c r="D230" s="105" t="s">
        <v>636</v>
      </c>
      <c r="E230" s="106" t="s">
        <v>233</v>
      </c>
      <c r="F230" s="107">
        <v>3</v>
      </c>
      <c r="G230" s="108" t="s">
        <v>885</v>
      </c>
    </row>
    <row r="231" spans="1:7" x14ac:dyDescent="0.25">
      <c r="A231" s="129" t="str">
        <f>IFERROR(INDEX('Plano.Vinculacao_Conta.Azul'!$A$1:$B$168,MATCH(Tabela4[[#This Row],[Cod.Reduzido]],'Plano.Vinculacao_Conta.Azul'!$B$1:$B$168,0),MATCH(A$1,'Plano.Vinculacao_Conta.Azul'!$A$1:$B$1,0)),"")</f>
        <v/>
      </c>
      <c r="B231" s="103" t="s">
        <v>627</v>
      </c>
      <c r="C231" s="104">
        <v>8243</v>
      </c>
      <c r="D231" s="105" t="s">
        <v>626</v>
      </c>
      <c r="E231" s="106" t="s">
        <v>233</v>
      </c>
      <c r="F231" s="107">
        <v>3</v>
      </c>
      <c r="G231" s="108" t="s">
        <v>233</v>
      </c>
    </row>
    <row r="232" spans="1:7" x14ac:dyDescent="0.25">
      <c r="A232" s="129" t="str">
        <f>IFERROR(INDEX('Plano.Vinculacao_Conta.Azul'!$A$1:$B$168,MATCH(Tabela4[[#This Row],[Cod.Reduzido]],'Plano.Vinculacao_Conta.Azul'!$B$1:$B$168,0),MATCH(A$1,'Plano.Vinculacao_Conta.Azul'!$A$1:$B$1,0)),"")</f>
        <v>Vendas de Refeicoes e Lanches</v>
      </c>
      <c r="B232" s="109" t="s">
        <v>625</v>
      </c>
      <c r="C232" s="104">
        <v>4736</v>
      </c>
      <c r="D232" s="105" t="s">
        <v>624</v>
      </c>
      <c r="E232" s="106" t="s">
        <v>233</v>
      </c>
      <c r="F232" s="107">
        <v>3</v>
      </c>
      <c r="G232" s="108" t="s">
        <v>903</v>
      </c>
    </row>
    <row r="233" spans="1:7" x14ac:dyDescent="0.25">
      <c r="A233" s="129" t="str">
        <f>IFERROR(INDEX('Plano.Vinculacao_Conta.Azul'!$A$1:$B$168,MATCH(Tabela4[[#This Row],[Cod.Reduzido]],'Plano.Vinculacao_Conta.Azul'!$B$1:$B$168,0),MATCH(A$1,'Plano.Vinculacao_Conta.Azul'!$A$1:$B$1,0)),"")</f>
        <v>Vendas de Refeicoes e Lanches - Conferencias</v>
      </c>
      <c r="B233" s="109" t="s">
        <v>625</v>
      </c>
      <c r="C233" s="104">
        <v>8362</v>
      </c>
      <c r="D233" s="105" t="s">
        <v>665</v>
      </c>
      <c r="E233" s="106" t="s">
        <v>313</v>
      </c>
      <c r="F233" s="107">
        <v>4</v>
      </c>
      <c r="G233" s="108" t="s">
        <v>886</v>
      </c>
    </row>
    <row r="234" spans="1:7" x14ac:dyDescent="0.25">
      <c r="A234" s="129" t="str">
        <f>IFERROR(INDEX('Plano.Vinculacao_Conta.Azul'!$A$1:$B$168,MATCH(Tabela4[[#This Row],[Cod.Reduzido]],'Plano.Vinculacao_Conta.Azul'!$B$1:$B$168,0),MATCH(A$1,'Plano.Vinculacao_Conta.Azul'!$A$1:$B$1,0)),"")</f>
        <v>Vendas do Bazar</v>
      </c>
      <c r="B234" s="109" t="s">
        <v>645</v>
      </c>
      <c r="C234" s="104">
        <v>12600</v>
      </c>
      <c r="D234" s="105" t="s">
        <v>644</v>
      </c>
      <c r="E234" s="106" t="s">
        <v>233</v>
      </c>
      <c r="F234" s="107">
        <v>3</v>
      </c>
      <c r="G234" s="108" t="s">
        <v>233</v>
      </c>
    </row>
    <row r="235" spans="1:7" x14ac:dyDescent="0.25">
      <c r="A235" s="129" t="str">
        <f>IFERROR(INDEX('Plano.Vinculacao_Conta.Azul'!$A$1:$B$168,MATCH(Tabela4[[#This Row],[Cod.Reduzido]],'Plano.Vinculacao_Conta.Azul'!$B$1:$B$168,0),MATCH(A$1,'Plano.Vinculacao_Conta.Azul'!$A$1:$B$1,0)),"")</f>
        <v/>
      </c>
      <c r="B235" s="109" t="s">
        <v>442</v>
      </c>
      <c r="C235" s="104">
        <v>174</v>
      </c>
      <c r="D235" s="105" t="s">
        <v>441</v>
      </c>
      <c r="E235" s="106" t="s">
        <v>359</v>
      </c>
      <c r="F235" s="107">
        <v>1</v>
      </c>
      <c r="G235" s="108" t="s">
        <v>362</v>
      </c>
    </row>
    <row r="236" spans="1:7" x14ac:dyDescent="0.25">
      <c r="A236" s="129" t="str">
        <f>IFERROR(INDEX('Plano.Vinculacao_Conta.Azul'!$A$1:$B$168,MATCH(Tabela4[[#This Row],[Cod.Reduzido]],'Plano.Vinculacao_Conta.Azul'!$B$1:$B$168,0),MATCH(A$1,'Plano.Vinculacao_Conta.Azul'!$A$1:$B$1,0)),"")</f>
        <v>Fernando Claudio Neves - Emprestimo</v>
      </c>
      <c r="B236" s="117" t="s">
        <v>1243</v>
      </c>
      <c r="C236" s="104">
        <v>14025</v>
      </c>
      <c r="D236" s="105" t="s">
        <v>1244</v>
      </c>
      <c r="E236" s="118" t="s">
        <v>359</v>
      </c>
      <c r="F236" s="119">
        <v>1</v>
      </c>
      <c r="G236" s="118" t="s">
        <v>362</v>
      </c>
    </row>
    <row r="237" spans="1:7" x14ac:dyDescent="0.25">
      <c r="A237" s="129" t="str">
        <f>IFERROR(INDEX('Plano.Vinculacao_Conta.Azul'!$A$1:$B$168,MATCH(Tabela4[[#This Row],[Cod.Reduzido]],'Plano.Vinculacao_Conta.Azul'!$B$1:$B$168,0),MATCH(A$1,'Plano.Vinculacao_Conta.Azul'!$A$1:$B$1,0)),"")</f>
        <v>Obras em Andamento - Predio Anexo</v>
      </c>
      <c r="B237" s="117" t="s">
        <v>1245</v>
      </c>
      <c r="C237" s="121">
        <v>8240</v>
      </c>
      <c r="D237" s="105" t="s">
        <v>1246</v>
      </c>
      <c r="E237" s="118" t="s">
        <v>359</v>
      </c>
      <c r="F237" s="119">
        <v>1</v>
      </c>
      <c r="G237" s="120" t="s">
        <v>904</v>
      </c>
    </row>
    <row r="238" spans="1:7" x14ac:dyDescent="0.25">
      <c r="A238" s="129" t="str">
        <f>IFERROR(INDEX('Plano.Vinculacao_Conta.Azul'!$A$1:$B$168,MATCH(Tabela4[[#This Row],[Cod.Reduzido]],'Plano.Vinculacao_Conta.Azul'!$B$1:$B$168,0),MATCH(A$1,'Plano.Vinculacao_Conta.Azul'!$A$1:$B$1,0)),"")</f>
        <v>Associacao Arvore da Vida - Emprestimo</v>
      </c>
      <c r="B238" s="117" t="s">
        <v>1248</v>
      </c>
      <c r="C238" s="104">
        <v>178</v>
      </c>
      <c r="D238" s="118" t="s">
        <v>1249</v>
      </c>
      <c r="E238" s="118" t="s">
        <v>359</v>
      </c>
      <c r="F238" s="119">
        <v>1</v>
      </c>
      <c r="G238" s="118" t="s">
        <v>362</v>
      </c>
    </row>
    <row r="239" spans="1:7" x14ac:dyDescent="0.25">
      <c r="A239" s="129" t="str">
        <f>IFERROR(INDEX('Plano.Vinculacao_Conta.Azul'!$A$1:$B$168,MATCH(Tabela4[[#This Row],[Cod.Reduzido]],'Plano.Vinculacao_Conta.Azul'!$B$1:$B$168,0),MATCH(A$1,'Plano.Vinculacao_Conta.Azul'!$A$1:$B$1,0)),"")</f>
        <v>Estacionamento (Casa 1)</v>
      </c>
      <c r="B239" s="117" t="s">
        <v>1252</v>
      </c>
      <c r="C239" s="104">
        <v>5613</v>
      </c>
      <c r="D239" s="105" t="s">
        <v>1251</v>
      </c>
      <c r="E239" s="106" t="s">
        <v>888</v>
      </c>
      <c r="F239" s="107">
        <v>5</v>
      </c>
      <c r="G239" s="108" t="s">
        <v>889</v>
      </c>
    </row>
    <row r="240" spans="1:7" x14ac:dyDescent="0.25">
      <c r="A240" s="129" t="str">
        <f>IFERROR(INDEX('Plano.Vinculacao_Conta.Azul'!$A$1:$B$168,MATCH(Tabela4[[#This Row],[Cod.Reduzido]],'Plano.Vinculacao_Conta.Azul'!$B$1:$B$168,0),MATCH(A$1,'Plano.Vinculacao_Conta.Azul'!$A$1:$B$1,0)),"")</f>
        <v>Transporte (Casa 2)</v>
      </c>
      <c r="B240" s="117" t="s">
        <v>660</v>
      </c>
      <c r="C240" s="104">
        <v>5531</v>
      </c>
      <c r="D240" s="105" t="s">
        <v>1253</v>
      </c>
      <c r="E240" s="106" t="s">
        <v>888</v>
      </c>
      <c r="F240" s="107">
        <v>5</v>
      </c>
      <c r="G240" s="108" t="s">
        <v>890</v>
      </c>
    </row>
    <row r="241" spans="1:7" x14ac:dyDescent="0.25">
      <c r="A241" s="129" t="str">
        <f>IFERROR(INDEX('Plano.Vinculacao_Conta.Azul'!$A$1:$B$168,MATCH(Tabela4[[#This Row],[Cod.Reduzido]],'Plano.Vinculacao_Conta.Azul'!$B$1:$B$168,0),MATCH(A$1,'Plano.Vinculacao_Conta.Azul'!$A$1:$B$1,0)),"")</f>
        <v>Igreja em Sabara</v>
      </c>
      <c r="B241" s="117" t="s">
        <v>539</v>
      </c>
      <c r="C241" s="104">
        <v>172</v>
      </c>
      <c r="D241" s="105" t="s">
        <v>538</v>
      </c>
      <c r="E241" s="106" t="s">
        <v>359</v>
      </c>
      <c r="F241" s="107">
        <v>1</v>
      </c>
      <c r="G241" s="108" t="s">
        <v>362</v>
      </c>
    </row>
    <row r="242" spans="1:7" x14ac:dyDescent="0.25">
      <c r="A242" s="129" t="str">
        <f>IFERROR(INDEX('Plano.Vinculacao_Conta.Azul'!$A$1:$B$168,MATCH(Tabela4[[#This Row],[Cod.Reduzido]],'Plano.Vinculacao_Conta.Azul'!$B$1:$B$168,0),MATCH(A$1,'Plano.Vinculacao_Conta.Azul'!$A$1:$B$1,0)),"")</f>
        <v>Consorcio de Veiculos</v>
      </c>
      <c r="B242" s="117" t="s">
        <v>1258</v>
      </c>
      <c r="C242" s="104">
        <v>9404</v>
      </c>
      <c r="D242" s="105" t="s">
        <v>1257</v>
      </c>
      <c r="E242" s="118" t="s">
        <v>359</v>
      </c>
      <c r="F242" s="119">
        <v>1</v>
      </c>
      <c r="G242" s="120" t="s">
        <v>923</v>
      </c>
    </row>
    <row r="243" spans="1:7" x14ac:dyDescent="0.25">
      <c r="A243" s="129" t="str">
        <f>IFERROR(INDEX('Plano.Vinculacao_Conta.Azul'!$A$1:$B$168,MATCH(Tabela4[[#This Row],[Cod.Reduzido]],'Plano.Vinculacao_Conta.Azul'!$B$1:$B$168,0),MATCH(A$1,'Plano.Vinculacao_Conta.Azul'!$A$1:$B$1,0)),"")</f>
        <v>Tributos Federais a Recolher</v>
      </c>
      <c r="B243" s="117" t="s">
        <v>1260</v>
      </c>
      <c r="C243" s="104">
        <v>9605</v>
      </c>
      <c r="D243" s="105" t="s">
        <v>1259</v>
      </c>
      <c r="E243" s="118" t="s">
        <v>367</v>
      </c>
      <c r="F243" s="119">
        <v>7</v>
      </c>
      <c r="G243" s="120" t="s">
        <v>363</v>
      </c>
    </row>
    <row r="244" spans="1:7" x14ac:dyDescent="0.25">
      <c r="A244" s="129" t="str">
        <f>IFERROR(INDEX('Plano.Vinculacao_Conta.Azul'!$A$1:$B$168,MATCH(Tabela4[[#This Row],[Cod.Reduzido]],'Plano.Vinculacao_Conta.Azul'!$B$1:$B$168,0),MATCH(A$1,'Plano.Vinculacao_Conta.Azul'!$A$1:$B$1,0)),"")</f>
        <v>Servico de Adolescentes</v>
      </c>
      <c r="B244" s="117" t="s">
        <v>1264</v>
      </c>
      <c r="C244" s="104">
        <v>9414</v>
      </c>
      <c r="D244" s="105" t="s">
        <v>1263</v>
      </c>
      <c r="E244" s="118" t="s">
        <v>366</v>
      </c>
      <c r="F244" s="119">
        <v>6</v>
      </c>
      <c r="G244" s="120" t="s">
        <v>366</v>
      </c>
    </row>
    <row r="245" spans="1:7" x14ac:dyDescent="0.25">
      <c r="A245" s="130" t="str">
        <f>IFERROR(INDEX('Plano.Vinculacao_Conta.Azul'!$A$1:$B$168,MATCH(Tabela4[[#This Row],[Cod.Reduzido]],'Plano.Vinculacao_Conta.Azul'!$B$1:$B$168,0),MATCH(A$1,'Plano.Vinculacao_Conta.Azul'!$A$1:$B$1,0)),"")</f>
        <v>Mauricio Flaviano Martins - Emprestimo</v>
      </c>
      <c r="B245" s="117" t="s">
        <v>1267</v>
      </c>
      <c r="C245" s="121">
        <v>106</v>
      </c>
      <c r="D245" s="105" t="s">
        <v>435</v>
      </c>
      <c r="E245" s="118" t="s">
        <v>359</v>
      </c>
      <c r="F245" s="119">
        <v>1</v>
      </c>
      <c r="G245" s="120" t="s">
        <v>362</v>
      </c>
    </row>
  </sheetData>
  <sortState xmlns:xlrd2="http://schemas.microsoft.com/office/spreadsheetml/2017/richdata2" ref="A2:N367">
    <sortCondition ref="A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2"/>
  <sheetViews>
    <sheetView workbookViewId="0">
      <selection activeCell="A252" sqref="A252:A262"/>
    </sheetView>
  </sheetViews>
  <sheetFormatPr defaultRowHeight="15" x14ac:dyDescent="0.25"/>
  <cols>
    <col min="1" max="1" width="8" bestFit="1" customWidth="1"/>
    <col min="2" max="2" width="47.42578125" bestFit="1" customWidth="1"/>
  </cols>
  <sheetData>
    <row r="1" spans="1:2" x14ac:dyDescent="0.25">
      <c r="A1" s="76" t="s">
        <v>377</v>
      </c>
      <c r="B1" s="76" t="s">
        <v>383</v>
      </c>
    </row>
    <row r="2" spans="1:2" x14ac:dyDescent="0.25">
      <c r="A2" s="80">
        <v>1</v>
      </c>
      <c r="B2" s="77" t="s">
        <v>979</v>
      </c>
    </row>
    <row r="3" spans="1:2" x14ac:dyDescent="0.25">
      <c r="A3" s="80">
        <v>2</v>
      </c>
      <c r="B3" s="77" t="s">
        <v>1128</v>
      </c>
    </row>
    <row r="4" spans="1:2" x14ac:dyDescent="0.25">
      <c r="A4" s="80">
        <v>3</v>
      </c>
      <c r="B4" s="77" t="s">
        <v>1171</v>
      </c>
    </row>
    <row r="5" spans="1:2" x14ac:dyDescent="0.25">
      <c r="A5" s="80">
        <v>4</v>
      </c>
      <c r="B5" s="77" t="s">
        <v>1112</v>
      </c>
    </row>
    <row r="6" spans="1:2" x14ac:dyDescent="0.25">
      <c r="A6" s="80">
        <v>5</v>
      </c>
      <c r="B6" s="77" t="s">
        <v>1065</v>
      </c>
    </row>
    <row r="7" spans="1:2" x14ac:dyDescent="0.25">
      <c r="A7" s="80">
        <v>6</v>
      </c>
      <c r="B7" s="77" t="s">
        <v>1140</v>
      </c>
    </row>
    <row r="8" spans="1:2" x14ac:dyDescent="0.25">
      <c r="A8" s="80">
        <v>7</v>
      </c>
      <c r="B8" s="77" t="s">
        <v>991</v>
      </c>
    </row>
    <row r="9" spans="1:2" x14ac:dyDescent="0.25">
      <c r="A9" s="80">
        <v>8</v>
      </c>
      <c r="B9" s="77" t="s">
        <v>1233</v>
      </c>
    </row>
    <row r="10" spans="1:2" x14ac:dyDescent="0.25">
      <c r="A10" s="80">
        <v>9</v>
      </c>
      <c r="B10" s="77" t="s">
        <v>1010</v>
      </c>
    </row>
    <row r="11" spans="1:2" x14ac:dyDescent="0.25">
      <c r="A11" s="80">
        <v>10</v>
      </c>
      <c r="B11" s="77" t="s">
        <v>1011</v>
      </c>
    </row>
    <row r="12" spans="1:2" x14ac:dyDescent="0.25">
      <c r="A12" s="80">
        <v>11</v>
      </c>
      <c r="B12" s="77" t="s">
        <v>1157</v>
      </c>
    </row>
    <row r="13" spans="1:2" x14ac:dyDescent="0.25">
      <c r="A13" s="80">
        <v>12</v>
      </c>
      <c r="B13" s="77" t="s">
        <v>1113</v>
      </c>
    </row>
    <row r="14" spans="1:2" x14ac:dyDescent="0.25">
      <c r="A14" s="80">
        <v>13</v>
      </c>
      <c r="B14" s="77" t="s">
        <v>1198</v>
      </c>
    </row>
    <row r="15" spans="1:2" x14ac:dyDescent="0.25">
      <c r="A15" s="80">
        <v>14</v>
      </c>
      <c r="B15" s="77" t="s">
        <v>1090</v>
      </c>
    </row>
    <row r="16" spans="1:2" x14ac:dyDescent="0.25">
      <c r="A16" s="80">
        <v>15</v>
      </c>
      <c r="B16" s="77" t="s">
        <v>1173</v>
      </c>
    </row>
    <row r="17" spans="1:2" x14ac:dyDescent="0.25">
      <c r="A17" s="80">
        <v>16</v>
      </c>
      <c r="B17" s="77" t="s">
        <v>1092</v>
      </c>
    </row>
    <row r="18" spans="1:2" x14ac:dyDescent="0.25">
      <c r="A18" s="80">
        <v>17</v>
      </c>
      <c r="B18" s="77" t="s">
        <v>1087</v>
      </c>
    </row>
    <row r="19" spans="1:2" x14ac:dyDescent="0.25">
      <c r="A19" s="80">
        <v>18</v>
      </c>
      <c r="B19" s="77" t="s">
        <v>1096</v>
      </c>
    </row>
    <row r="20" spans="1:2" x14ac:dyDescent="0.25">
      <c r="A20" s="80">
        <v>19</v>
      </c>
      <c r="B20" s="77" t="s">
        <v>1101</v>
      </c>
    </row>
    <row r="21" spans="1:2" x14ac:dyDescent="0.25">
      <c r="A21" s="80">
        <v>20</v>
      </c>
      <c r="B21" s="77" t="s">
        <v>1069</v>
      </c>
    </row>
    <row r="22" spans="1:2" x14ac:dyDescent="0.25">
      <c r="A22" s="80">
        <v>21</v>
      </c>
      <c r="B22" s="77" t="s">
        <v>1195</v>
      </c>
    </row>
    <row r="23" spans="1:2" x14ac:dyDescent="0.25">
      <c r="A23" s="80">
        <v>22</v>
      </c>
      <c r="B23" s="77" t="s">
        <v>1124</v>
      </c>
    </row>
    <row r="24" spans="1:2" x14ac:dyDescent="0.25">
      <c r="A24" s="80">
        <v>23</v>
      </c>
      <c r="B24" s="77" t="s">
        <v>1145</v>
      </c>
    </row>
    <row r="25" spans="1:2" x14ac:dyDescent="0.25">
      <c r="A25" s="80">
        <v>24</v>
      </c>
      <c r="B25" s="77" t="s">
        <v>1075</v>
      </c>
    </row>
    <row r="26" spans="1:2" x14ac:dyDescent="0.25">
      <c r="A26" s="80">
        <v>25</v>
      </c>
      <c r="B26" s="77" t="s">
        <v>1201</v>
      </c>
    </row>
    <row r="27" spans="1:2" x14ac:dyDescent="0.25">
      <c r="A27" s="80">
        <v>26</v>
      </c>
      <c r="B27" s="77" t="s">
        <v>1016</v>
      </c>
    </row>
    <row r="28" spans="1:2" x14ac:dyDescent="0.25">
      <c r="A28" s="80">
        <v>27</v>
      </c>
      <c r="B28" s="77" t="s">
        <v>983</v>
      </c>
    </row>
    <row r="29" spans="1:2" x14ac:dyDescent="0.25">
      <c r="A29" s="80">
        <v>28</v>
      </c>
      <c r="B29" s="77" t="s">
        <v>1120</v>
      </c>
    </row>
    <row r="30" spans="1:2" x14ac:dyDescent="0.25">
      <c r="A30" s="80">
        <v>29</v>
      </c>
      <c r="B30" s="77" t="s">
        <v>999</v>
      </c>
    </row>
    <row r="31" spans="1:2" x14ac:dyDescent="0.25">
      <c r="A31" s="80">
        <v>30</v>
      </c>
      <c r="B31" s="77" t="s">
        <v>1208</v>
      </c>
    </row>
    <row r="32" spans="1:2" x14ac:dyDescent="0.25">
      <c r="A32" s="80">
        <v>31</v>
      </c>
      <c r="B32" s="77" t="s">
        <v>1187</v>
      </c>
    </row>
    <row r="33" spans="1:2" x14ac:dyDescent="0.25">
      <c r="A33" s="80">
        <v>32</v>
      </c>
      <c r="B33" s="77" t="s">
        <v>1214</v>
      </c>
    </row>
    <row r="34" spans="1:2" x14ac:dyDescent="0.25">
      <c r="A34" s="80">
        <v>33</v>
      </c>
      <c r="B34" s="77" t="s">
        <v>1162</v>
      </c>
    </row>
    <row r="35" spans="1:2" x14ac:dyDescent="0.25">
      <c r="A35" s="80">
        <v>34</v>
      </c>
      <c r="B35" s="77" t="s">
        <v>997</v>
      </c>
    </row>
    <row r="36" spans="1:2" x14ac:dyDescent="0.25">
      <c r="A36" s="80">
        <v>35</v>
      </c>
      <c r="B36" s="77" t="s">
        <v>1014</v>
      </c>
    </row>
    <row r="37" spans="1:2" x14ac:dyDescent="0.25">
      <c r="A37" s="80">
        <v>36</v>
      </c>
      <c r="B37" s="77" t="s">
        <v>1027</v>
      </c>
    </row>
    <row r="38" spans="1:2" x14ac:dyDescent="0.25">
      <c r="A38" s="80">
        <v>37</v>
      </c>
      <c r="B38" s="77" t="s">
        <v>1136</v>
      </c>
    </row>
    <row r="39" spans="1:2" x14ac:dyDescent="0.25">
      <c r="A39" s="80">
        <v>38</v>
      </c>
      <c r="B39" s="77" t="s">
        <v>1074</v>
      </c>
    </row>
    <row r="40" spans="1:2" x14ac:dyDescent="0.25">
      <c r="A40" s="80">
        <v>39</v>
      </c>
      <c r="B40" s="77" t="s">
        <v>1160</v>
      </c>
    </row>
    <row r="41" spans="1:2" x14ac:dyDescent="0.25">
      <c r="A41" s="80">
        <v>40</v>
      </c>
      <c r="B41" s="77" t="s">
        <v>1059</v>
      </c>
    </row>
    <row r="42" spans="1:2" x14ac:dyDescent="0.25">
      <c r="A42" s="80">
        <v>41</v>
      </c>
      <c r="B42" s="77" t="s">
        <v>1089</v>
      </c>
    </row>
    <row r="43" spans="1:2" x14ac:dyDescent="0.25">
      <c r="A43" s="80">
        <v>42</v>
      </c>
      <c r="B43" s="77" t="s">
        <v>1093</v>
      </c>
    </row>
    <row r="44" spans="1:2" x14ac:dyDescent="0.25">
      <c r="A44" s="80">
        <v>43</v>
      </c>
      <c r="B44" s="77" t="s">
        <v>1179</v>
      </c>
    </row>
    <row r="45" spans="1:2" x14ac:dyDescent="0.25">
      <c r="A45" s="80">
        <v>44</v>
      </c>
      <c r="B45" s="77" t="s">
        <v>1107</v>
      </c>
    </row>
    <row r="46" spans="1:2" x14ac:dyDescent="0.25">
      <c r="A46" s="80">
        <v>45</v>
      </c>
      <c r="B46" s="77" t="s">
        <v>1121</v>
      </c>
    </row>
    <row r="47" spans="1:2" x14ac:dyDescent="0.25">
      <c r="A47" s="80">
        <v>46</v>
      </c>
      <c r="B47" s="77" t="s">
        <v>1141</v>
      </c>
    </row>
    <row r="48" spans="1:2" x14ac:dyDescent="0.25">
      <c r="A48" s="80">
        <v>47</v>
      </c>
      <c r="B48" s="77" t="s">
        <v>1178</v>
      </c>
    </row>
    <row r="49" spans="1:2" x14ac:dyDescent="0.25">
      <c r="A49" s="80">
        <v>48</v>
      </c>
      <c r="B49" s="77" t="s">
        <v>1023</v>
      </c>
    </row>
    <row r="50" spans="1:2" x14ac:dyDescent="0.25">
      <c r="A50" s="80">
        <v>49</v>
      </c>
      <c r="B50" s="77" t="s">
        <v>1156</v>
      </c>
    </row>
    <row r="51" spans="1:2" x14ac:dyDescent="0.25">
      <c r="A51" s="80">
        <v>50</v>
      </c>
      <c r="B51" s="77" t="s">
        <v>1188</v>
      </c>
    </row>
    <row r="52" spans="1:2" x14ac:dyDescent="0.25">
      <c r="A52" s="80">
        <v>51</v>
      </c>
      <c r="B52" s="77" t="s">
        <v>1045</v>
      </c>
    </row>
    <row r="53" spans="1:2" x14ac:dyDescent="0.25">
      <c r="A53" s="80">
        <v>52</v>
      </c>
      <c r="B53" s="77" t="s">
        <v>989</v>
      </c>
    </row>
    <row r="54" spans="1:2" x14ac:dyDescent="0.25">
      <c r="A54" s="80">
        <v>53</v>
      </c>
      <c r="B54" s="77" t="s">
        <v>1057</v>
      </c>
    </row>
    <row r="55" spans="1:2" x14ac:dyDescent="0.25">
      <c r="A55" s="80">
        <v>54</v>
      </c>
      <c r="B55" s="77" t="s">
        <v>1068</v>
      </c>
    </row>
    <row r="56" spans="1:2" x14ac:dyDescent="0.25">
      <c r="A56" s="80">
        <v>55</v>
      </c>
      <c r="B56" s="77" t="s">
        <v>1032</v>
      </c>
    </row>
    <row r="57" spans="1:2" x14ac:dyDescent="0.25">
      <c r="A57" s="80">
        <v>56</v>
      </c>
      <c r="B57" s="77" t="s">
        <v>1077</v>
      </c>
    </row>
    <row r="58" spans="1:2" x14ac:dyDescent="0.25">
      <c r="A58" s="80">
        <v>57</v>
      </c>
      <c r="B58" s="77" t="s">
        <v>994</v>
      </c>
    </row>
    <row r="59" spans="1:2" x14ac:dyDescent="0.25">
      <c r="A59" s="80">
        <v>58</v>
      </c>
      <c r="B59" s="77" t="s">
        <v>1230</v>
      </c>
    </row>
    <row r="60" spans="1:2" x14ac:dyDescent="0.25">
      <c r="A60" s="80">
        <v>59</v>
      </c>
      <c r="B60" s="77" t="s">
        <v>1054</v>
      </c>
    </row>
    <row r="61" spans="1:2" x14ac:dyDescent="0.25">
      <c r="A61" s="80">
        <v>60</v>
      </c>
      <c r="B61" s="77" t="s">
        <v>982</v>
      </c>
    </row>
    <row r="62" spans="1:2" x14ac:dyDescent="0.25">
      <c r="A62" s="80">
        <v>61</v>
      </c>
      <c r="B62" s="77" t="s">
        <v>1236</v>
      </c>
    </row>
    <row r="63" spans="1:2" x14ac:dyDescent="0.25">
      <c r="A63" s="80">
        <v>62</v>
      </c>
      <c r="B63" s="77" t="s">
        <v>1078</v>
      </c>
    </row>
    <row r="64" spans="1:2" x14ac:dyDescent="0.25">
      <c r="A64" s="80">
        <v>63</v>
      </c>
      <c r="B64" s="77" t="s">
        <v>1216</v>
      </c>
    </row>
    <row r="65" spans="1:2" x14ac:dyDescent="0.25">
      <c r="A65" s="80">
        <v>64</v>
      </c>
      <c r="B65" s="77" t="s">
        <v>1218</v>
      </c>
    </row>
    <row r="66" spans="1:2" x14ac:dyDescent="0.25">
      <c r="A66" s="80">
        <v>65</v>
      </c>
      <c r="B66" s="77" t="s">
        <v>1070</v>
      </c>
    </row>
    <row r="67" spans="1:2" x14ac:dyDescent="0.25">
      <c r="A67" s="80">
        <v>66</v>
      </c>
      <c r="B67" s="77" t="s">
        <v>1181</v>
      </c>
    </row>
    <row r="68" spans="1:2" x14ac:dyDescent="0.25">
      <c r="A68" s="80">
        <v>67</v>
      </c>
      <c r="B68" s="77" t="s">
        <v>1003</v>
      </c>
    </row>
    <row r="69" spans="1:2" x14ac:dyDescent="0.25">
      <c r="A69" s="80">
        <v>68</v>
      </c>
      <c r="B69" s="77" t="s">
        <v>1041</v>
      </c>
    </row>
    <row r="70" spans="1:2" x14ac:dyDescent="0.25">
      <c r="A70" s="80">
        <v>69</v>
      </c>
      <c r="B70" s="77" t="s">
        <v>1021</v>
      </c>
    </row>
    <row r="71" spans="1:2" x14ac:dyDescent="0.25">
      <c r="A71" s="80">
        <v>70</v>
      </c>
      <c r="B71" s="77" t="s">
        <v>1088</v>
      </c>
    </row>
    <row r="72" spans="1:2" x14ac:dyDescent="0.25">
      <c r="A72" s="80">
        <v>71</v>
      </c>
      <c r="B72" s="77" t="s">
        <v>1229</v>
      </c>
    </row>
    <row r="73" spans="1:2" x14ac:dyDescent="0.25">
      <c r="A73" s="80">
        <v>72</v>
      </c>
      <c r="B73" s="77" t="s">
        <v>1234</v>
      </c>
    </row>
    <row r="74" spans="1:2" x14ac:dyDescent="0.25">
      <c r="A74" s="80">
        <v>73</v>
      </c>
      <c r="B74" s="77" t="s">
        <v>1048</v>
      </c>
    </row>
    <row r="75" spans="1:2" x14ac:dyDescent="0.25">
      <c r="A75" s="80">
        <v>74</v>
      </c>
      <c r="B75" s="77" t="s">
        <v>1038</v>
      </c>
    </row>
    <row r="76" spans="1:2" x14ac:dyDescent="0.25">
      <c r="A76" s="80">
        <v>75</v>
      </c>
      <c r="B76" s="77" t="s">
        <v>1013</v>
      </c>
    </row>
    <row r="77" spans="1:2" x14ac:dyDescent="0.25">
      <c r="A77" s="80">
        <v>76</v>
      </c>
      <c r="B77" s="77" t="s">
        <v>981</v>
      </c>
    </row>
    <row r="78" spans="1:2" x14ac:dyDescent="0.25">
      <c r="A78" s="80">
        <v>77</v>
      </c>
      <c r="B78" s="77" t="s">
        <v>1194</v>
      </c>
    </row>
    <row r="79" spans="1:2" x14ac:dyDescent="0.25">
      <c r="A79" s="80">
        <v>78</v>
      </c>
      <c r="B79" s="77" t="s">
        <v>984</v>
      </c>
    </row>
    <row r="80" spans="1:2" x14ac:dyDescent="0.25">
      <c r="A80" s="80">
        <v>79</v>
      </c>
      <c r="B80" s="77" t="s">
        <v>1182</v>
      </c>
    </row>
    <row r="81" spans="1:2" x14ac:dyDescent="0.25">
      <c r="A81" s="80">
        <v>80</v>
      </c>
      <c r="B81" s="77" t="s">
        <v>1056</v>
      </c>
    </row>
    <row r="82" spans="1:2" x14ac:dyDescent="0.25">
      <c r="A82" s="80">
        <v>81</v>
      </c>
      <c r="B82" s="77" t="s">
        <v>1019</v>
      </c>
    </row>
    <row r="83" spans="1:2" x14ac:dyDescent="0.25">
      <c r="A83" s="80">
        <v>82</v>
      </c>
      <c r="B83" s="77" t="s">
        <v>1125</v>
      </c>
    </row>
    <row r="84" spans="1:2" x14ac:dyDescent="0.25">
      <c r="A84" s="80">
        <v>83</v>
      </c>
      <c r="B84" s="77" t="s">
        <v>1037</v>
      </c>
    </row>
    <row r="85" spans="1:2" x14ac:dyDescent="0.25">
      <c r="A85" s="80">
        <v>84</v>
      </c>
      <c r="B85" s="77" t="s">
        <v>1028</v>
      </c>
    </row>
    <row r="86" spans="1:2" x14ac:dyDescent="0.25">
      <c r="A86" s="80">
        <v>85</v>
      </c>
      <c r="B86" s="77" t="s">
        <v>1105</v>
      </c>
    </row>
    <row r="87" spans="1:2" x14ac:dyDescent="0.25">
      <c r="A87" s="80">
        <v>86</v>
      </c>
      <c r="B87" s="77" t="s">
        <v>1189</v>
      </c>
    </row>
    <row r="88" spans="1:2" x14ac:dyDescent="0.25">
      <c r="A88" s="80">
        <v>87</v>
      </c>
      <c r="B88" s="77" t="s">
        <v>1012</v>
      </c>
    </row>
    <row r="89" spans="1:2" x14ac:dyDescent="0.25">
      <c r="A89" s="80">
        <v>88</v>
      </c>
      <c r="B89" s="77" t="s">
        <v>1153</v>
      </c>
    </row>
    <row r="90" spans="1:2" x14ac:dyDescent="0.25">
      <c r="A90" s="80">
        <v>89</v>
      </c>
      <c r="B90" s="77" t="s">
        <v>1142</v>
      </c>
    </row>
    <row r="91" spans="1:2" x14ac:dyDescent="0.25">
      <c r="A91" s="80">
        <v>90</v>
      </c>
      <c r="B91" s="77" t="s">
        <v>1228</v>
      </c>
    </row>
    <row r="92" spans="1:2" x14ac:dyDescent="0.25">
      <c r="A92" s="80">
        <v>91</v>
      </c>
      <c r="B92" s="77" t="s">
        <v>1053</v>
      </c>
    </row>
    <row r="93" spans="1:2" x14ac:dyDescent="0.25">
      <c r="A93" s="80">
        <v>92</v>
      </c>
      <c r="B93" s="77" t="s">
        <v>1084</v>
      </c>
    </row>
    <row r="94" spans="1:2" x14ac:dyDescent="0.25">
      <c r="A94" s="80">
        <v>93</v>
      </c>
      <c r="B94" s="77" t="s">
        <v>1067</v>
      </c>
    </row>
    <row r="95" spans="1:2" x14ac:dyDescent="0.25">
      <c r="A95" s="80">
        <v>94</v>
      </c>
      <c r="B95" s="77" t="s">
        <v>1126</v>
      </c>
    </row>
    <row r="96" spans="1:2" x14ac:dyDescent="0.25">
      <c r="A96" s="80">
        <v>95</v>
      </c>
      <c r="B96" s="77" t="s">
        <v>1017</v>
      </c>
    </row>
    <row r="97" spans="1:2" x14ac:dyDescent="0.25">
      <c r="A97" s="80">
        <v>96</v>
      </c>
      <c r="B97" s="77" t="s">
        <v>1226</v>
      </c>
    </row>
    <row r="98" spans="1:2" x14ac:dyDescent="0.25">
      <c r="A98" s="80">
        <v>97</v>
      </c>
      <c r="B98" s="77" t="s">
        <v>1095</v>
      </c>
    </row>
    <row r="99" spans="1:2" x14ac:dyDescent="0.25">
      <c r="A99" s="80">
        <v>98</v>
      </c>
      <c r="B99" s="77" t="s">
        <v>1174</v>
      </c>
    </row>
    <row r="100" spans="1:2" x14ac:dyDescent="0.25">
      <c r="A100" s="80">
        <v>99</v>
      </c>
      <c r="B100" s="77" t="s">
        <v>1001</v>
      </c>
    </row>
    <row r="101" spans="1:2" x14ac:dyDescent="0.25">
      <c r="A101" s="80">
        <v>100</v>
      </c>
      <c r="B101" s="77" t="s">
        <v>1127</v>
      </c>
    </row>
    <row r="102" spans="1:2" x14ac:dyDescent="0.25">
      <c r="A102" s="80">
        <v>101</v>
      </c>
      <c r="B102" s="77" t="s">
        <v>1221</v>
      </c>
    </row>
    <row r="103" spans="1:2" x14ac:dyDescent="0.25">
      <c r="A103" s="80">
        <v>102</v>
      </c>
      <c r="B103" s="77" t="s">
        <v>1131</v>
      </c>
    </row>
    <row r="104" spans="1:2" x14ac:dyDescent="0.25">
      <c r="A104" s="80">
        <v>103</v>
      </c>
      <c r="B104" s="77" t="s">
        <v>1008</v>
      </c>
    </row>
    <row r="105" spans="1:2" x14ac:dyDescent="0.25">
      <c r="A105" s="80">
        <v>104</v>
      </c>
      <c r="B105" s="77" t="s">
        <v>1015</v>
      </c>
    </row>
    <row r="106" spans="1:2" x14ac:dyDescent="0.25">
      <c r="A106" s="80">
        <v>105</v>
      </c>
      <c r="B106" s="77" t="s">
        <v>1184</v>
      </c>
    </row>
    <row r="107" spans="1:2" x14ac:dyDescent="0.25">
      <c r="A107" s="80">
        <v>106</v>
      </c>
      <c r="B107" s="77" t="s">
        <v>1082</v>
      </c>
    </row>
    <row r="108" spans="1:2" x14ac:dyDescent="0.25">
      <c r="A108" s="80">
        <v>107</v>
      </c>
      <c r="B108" s="77" t="s">
        <v>990</v>
      </c>
    </row>
    <row r="109" spans="1:2" x14ac:dyDescent="0.25">
      <c r="A109" s="80">
        <v>108</v>
      </c>
      <c r="B109" s="77" t="s">
        <v>1114</v>
      </c>
    </row>
    <row r="110" spans="1:2" x14ac:dyDescent="0.25">
      <c r="A110" s="80">
        <v>109</v>
      </c>
      <c r="B110" s="77" t="s">
        <v>1035</v>
      </c>
    </row>
    <row r="111" spans="1:2" x14ac:dyDescent="0.25">
      <c r="A111" s="80">
        <v>110</v>
      </c>
      <c r="B111" s="77" t="s">
        <v>1123</v>
      </c>
    </row>
    <row r="112" spans="1:2" x14ac:dyDescent="0.25">
      <c r="A112" s="80">
        <v>111</v>
      </c>
      <c r="B112" s="77" t="s">
        <v>1122</v>
      </c>
    </row>
    <row r="113" spans="1:2" x14ac:dyDescent="0.25">
      <c r="A113" s="80">
        <v>112</v>
      </c>
      <c r="B113" s="77" t="s">
        <v>1061</v>
      </c>
    </row>
    <row r="114" spans="1:2" x14ac:dyDescent="0.25">
      <c r="A114" s="80">
        <v>113</v>
      </c>
      <c r="B114" s="77" t="s">
        <v>1203</v>
      </c>
    </row>
    <row r="115" spans="1:2" x14ac:dyDescent="0.25">
      <c r="A115" s="80">
        <v>114</v>
      </c>
      <c r="B115" s="77" t="s">
        <v>1030</v>
      </c>
    </row>
    <row r="116" spans="1:2" x14ac:dyDescent="0.25">
      <c r="A116" s="80">
        <v>115</v>
      </c>
      <c r="B116" s="77" t="s">
        <v>1046</v>
      </c>
    </row>
    <row r="117" spans="1:2" x14ac:dyDescent="0.25">
      <c r="A117" s="80">
        <v>116</v>
      </c>
      <c r="B117" s="77" t="s">
        <v>986</v>
      </c>
    </row>
    <row r="118" spans="1:2" x14ac:dyDescent="0.25">
      <c r="A118" s="80">
        <v>117</v>
      </c>
      <c r="B118" s="77" t="s">
        <v>1235</v>
      </c>
    </row>
    <row r="119" spans="1:2" x14ac:dyDescent="0.25">
      <c r="A119" s="80">
        <v>118</v>
      </c>
      <c r="B119" s="77" t="s">
        <v>1049</v>
      </c>
    </row>
    <row r="120" spans="1:2" x14ac:dyDescent="0.25">
      <c r="A120" s="80">
        <v>119</v>
      </c>
      <c r="B120" s="77" t="s">
        <v>1118</v>
      </c>
    </row>
    <row r="121" spans="1:2" x14ac:dyDescent="0.25">
      <c r="A121" s="80">
        <v>120</v>
      </c>
      <c r="B121" s="77" t="s">
        <v>1213</v>
      </c>
    </row>
    <row r="122" spans="1:2" x14ac:dyDescent="0.25">
      <c r="A122" s="80">
        <v>121</v>
      </c>
      <c r="B122" s="77" t="s">
        <v>1029</v>
      </c>
    </row>
    <row r="123" spans="1:2" x14ac:dyDescent="0.25">
      <c r="A123" s="80">
        <v>122</v>
      </c>
      <c r="B123" s="77" t="s">
        <v>1026</v>
      </c>
    </row>
    <row r="124" spans="1:2" x14ac:dyDescent="0.25">
      <c r="A124" s="80">
        <v>123</v>
      </c>
      <c r="B124" s="77" t="s">
        <v>1183</v>
      </c>
    </row>
    <row r="125" spans="1:2" x14ac:dyDescent="0.25">
      <c r="A125" s="80">
        <v>124</v>
      </c>
      <c r="B125" s="77" t="s">
        <v>1099</v>
      </c>
    </row>
    <row r="126" spans="1:2" x14ac:dyDescent="0.25">
      <c r="A126" s="80">
        <v>125</v>
      </c>
      <c r="B126" s="77" t="s">
        <v>1164</v>
      </c>
    </row>
    <row r="127" spans="1:2" x14ac:dyDescent="0.25">
      <c r="A127" s="80">
        <v>126</v>
      </c>
      <c r="B127" s="77" t="s">
        <v>1033</v>
      </c>
    </row>
    <row r="128" spans="1:2" x14ac:dyDescent="0.25">
      <c r="A128" s="80">
        <v>127</v>
      </c>
      <c r="B128" s="77" t="s">
        <v>1058</v>
      </c>
    </row>
    <row r="129" spans="1:2" x14ac:dyDescent="0.25">
      <c r="A129" s="80">
        <v>128</v>
      </c>
      <c r="B129" s="77" t="s">
        <v>1217</v>
      </c>
    </row>
    <row r="130" spans="1:2" x14ac:dyDescent="0.25">
      <c r="A130" s="80">
        <v>129</v>
      </c>
      <c r="B130" s="77" t="s">
        <v>1055</v>
      </c>
    </row>
    <row r="131" spans="1:2" x14ac:dyDescent="0.25">
      <c r="A131" s="80">
        <v>130</v>
      </c>
      <c r="B131" s="77" t="s">
        <v>1159</v>
      </c>
    </row>
    <row r="132" spans="1:2" x14ac:dyDescent="0.25">
      <c r="A132" s="80">
        <v>131</v>
      </c>
      <c r="B132" s="77" t="s">
        <v>1097</v>
      </c>
    </row>
    <row r="133" spans="1:2" x14ac:dyDescent="0.25">
      <c r="A133" s="80">
        <v>132</v>
      </c>
      <c r="B133" s="77" t="s">
        <v>1009</v>
      </c>
    </row>
    <row r="134" spans="1:2" x14ac:dyDescent="0.25">
      <c r="A134" s="80">
        <v>133</v>
      </c>
      <c r="B134" s="77" t="s">
        <v>1024</v>
      </c>
    </row>
    <row r="135" spans="1:2" x14ac:dyDescent="0.25">
      <c r="A135" s="80">
        <v>134</v>
      </c>
      <c r="B135" s="77" t="s">
        <v>1071</v>
      </c>
    </row>
    <row r="136" spans="1:2" x14ac:dyDescent="0.25">
      <c r="A136" s="80">
        <v>135</v>
      </c>
      <c r="B136" s="77" t="s">
        <v>1060</v>
      </c>
    </row>
    <row r="137" spans="1:2" x14ac:dyDescent="0.25">
      <c r="A137" s="80">
        <v>136</v>
      </c>
      <c r="B137" s="77" t="s">
        <v>1000</v>
      </c>
    </row>
    <row r="138" spans="1:2" x14ac:dyDescent="0.25">
      <c r="A138" s="80">
        <v>137</v>
      </c>
      <c r="B138" s="77" t="s">
        <v>1130</v>
      </c>
    </row>
    <row r="139" spans="1:2" x14ac:dyDescent="0.25">
      <c r="A139" s="80">
        <v>138</v>
      </c>
      <c r="B139" s="77" t="s">
        <v>1222</v>
      </c>
    </row>
    <row r="140" spans="1:2" x14ac:dyDescent="0.25">
      <c r="A140" s="80">
        <v>139</v>
      </c>
      <c r="B140" s="77" t="s">
        <v>1006</v>
      </c>
    </row>
    <row r="141" spans="1:2" x14ac:dyDescent="0.25">
      <c r="A141" s="80">
        <v>140</v>
      </c>
      <c r="B141" s="77" t="s">
        <v>985</v>
      </c>
    </row>
    <row r="142" spans="1:2" x14ac:dyDescent="0.25">
      <c r="A142" s="80">
        <v>141</v>
      </c>
      <c r="B142" s="77" t="s">
        <v>1005</v>
      </c>
    </row>
    <row r="143" spans="1:2" x14ac:dyDescent="0.25">
      <c r="A143" s="80">
        <v>142</v>
      </c>
      <c r="B143" s="77" t="s">
        <v>1002</v>
      </c>
    </row>
    <row r="144" spans="1:2" x14ac:dyDescent="0.25">
      <c r="A144" s="80">
        <v>143</v>
      </c>
      <c r="B144" s="77" t="s">
        <v>1220</v>
      </c>
    </row>
    <row r="145" spans="1:2" x14ac:dyDescent="0.25">
      <c r="A145" s="80">
        <v>144</v>
      </c>
      <c r="B145" s="77" t="s">
        <v>1004</v>
      </c>
    </row>
    <row r="146" spans="1:2" x14ac:dyDescent="0.25">
      <c r="A146" s="80">
        <v>145</v>
      </c>
      <c r="B146" s="77" t="s">
        <v>1144</v>
      </c>
    </row>
    <row r="147" spans="1:2" x14ac:dyDescent="0.25">
      <c r="A147" s="80">
        <v>146</v>
      </c>
      <c r="B147" s="77" t="s">
        <v>1239</v>
      </c>
    </row>
    <row r="148" spans="1:2" x14ac:dyDescent="0.25">
      <c r="A148" s="80">
        <v>147</v>
      </c>
      <c r="B148" s="77" t="s">
        <v>1110</v>
      </c>
    </row>
    <row r="149" spans="1:2" x14ac:dyDescent="0.25">
      <c r="A149" s="80">
        <v>148</v>
      </c>
      <c r="B149" s="77" t="s">
        <v>1052</v>
      </c>
    </row>
    <row r="150" spans="1:2" x14ac:dyDescent="0.25">
      <c r="A150" s="80">
        <v>149</v>
      </c>
      <c r="B150" s="77" t="s">
        <v>1190</v>
      </c>
    </row>
    <row r="151" spans="1:2" x14ac:dyDescent="0.25">
      <c r="A151" s="80">
        <v>150</v>
      </c>
      <c r="B151" s="77" t="s">
        <v>1196</v>
      </c>
    </row>
    <row r="152" spans="1:2" x14ac:dyDescent="0.25">
      <c r="A152" s="80">
        <v>151</v>
      </c>
      <c r="B152" s="77" t="s">
        <v>1098</v>
      </c>
    </row>
    <row r="153" spans="1:2" x14ac:dyDescent="0.25">
      <c r="A153" s="80">
        <v>152</v>
      </c>
      <c r="B153" s="77" t="s">
        <v>1034</v>
      </c>
    </row>
    <row r="154" spans="1:2" x14ac:dyDescent="0.25">
      <c r="A154" s="80">
        <v>153</v>
      </c>
      <c r="B154" s="77" t="s">
        <v>1151</v>
      </c>
    </row>
    <row r="155" spans="1:2" x14ac:dyDescent="0.25">
      <c r="A155" s="80">
        <v>154</v>
      </c>
      <c r="B155" s="77" t="s">
        <v>1207</v>
      </c>
    </row>
    <row r="156" spans="1:2" x14ac:dyDescent="0.25">
      <c r="A156" s="80">
        <v>155</v>
      </c>
      <c r="B156" s="77" t="s">
        <v>1158</v>
      </c>
    </row>
    <row r="157" spans="1:2" x14ac:dyDescent="0.25">
      <c r="A157" s="80">
        <v>156</v>
      </c>
      <c r="B157" s="77" t="s">
        <v>1051</v>
      </c>
    </row>
    <row r="158" spans="1:2" x14ac:dyDescent="0.25">
      <c r="A158" s="80">
        <v>157</v>
      </c>
      <c r="B158" s="77" t="s">
        <v>1040</v>
      </c>
    </row>
    <row r="159" spans="1:2" x14ac:dyDescent="0.25">
      <c r="A159" s="80">
        <v>158</v>
      </c>
      <c r="B159" s="77" t="s">
        <v>1043</v>
      </c>
    </row>
    <row r="160" spans="1:2" x14ac:dyDescent="0.25">
      <c r="A160" s="80">
        <v>159</v>
      </c>
      <c r="B160" s="77" t="s">
        <v>1085</v>
      </c>
    </row>
    <row r="161" spans="1:2" x14ac:dyDescent="0.25">
      <c r="A161" s="80">
        <v>160</v>
      </c>
      <c r="B161" s="77" t="s">
        <v>1083</v>
      </c>
    </row>
    <row r="162" spans="1:2" x14ac:dyDescent="0.25">
      <c r="A162" s="80">
        <v>161</v>
      </c>
      <c r="B162" s="77" t="s">
        <v>1232</v>
      </c>
    </row>
    <row r="163" spans="1:2" x14ac:dyDescent="0.25">
      <c r="A163" s="80">
        <v>162</v>
      </c>
      <c r="B163" s="77" t="s">
        <v>1073</v>
      </c>
    </row>
    <row r="164" spans="1:2" x14ac:dyDescent="0.25">
      <c r="A164" s="80">
        <v>163</v>
      </c>
      <c r="B164" s="77" t="s">
        <v>1062</v>
      </c>
    </row>
    <row r="165" spans="1:2" x14ac:dyDescent="0.25">
      <c r="A165" s="80">
        <v>164</v>
      </c>
      <c r="B165" s="77" t="s">
        <v>1039</v>
      </c>
    </row>
    <row r="166" spans="1:2" x14ac:dyDescent="0.25">
      <c r="A166" s="80">
        <v>165</v>
      </c>
      <c r="B166" s="77" t="s">
        <v>1119</v>
      </c>
    </row>
    <row r="167" spans="1:2" x14ac:dyDescent="0.25">
      <c r="A167" s="80">
        <v>166</v>
      </c>
      <c r="B167" s="77" t="s">
        <v>1117</v>
      </c>
    </row>
    <row r="168" spans="1:2" x14ac:dyDescent="0.25">
      <c r="A168" s="80">
        <v>167</v>
      </c>
      <c r="B168" s="77" t="s">
        <v>1161</v>
      </c>
    </row>
    <row r="169" spans="1:2" x14ac:dyDescent="0.25">
      <c r="A169" s="80">
        <v>168</v>
      </c>
      <c r="B169" s="77" t="s">
        <v>1139</v>
      </c>
    </row>
    <row r="170" spans="1:2" x14ac:dyDescent="0.25">
      <c r="A170" s="80">
        <v>169</v>
      </c>
      <c r="B170" s="77" t="s">
        <v>1066</v>
      </c>
    </row>
    <row r="171" spans="1:2" x14ac:dyDescent="0.25">
      <c r="A171" s="80">
        <v>170</v>
      </c>
      <c r="B171" s="77" t="s">
        <v>1063</v>
      </c>
    </row>
    <row r="172" spans="1:2" x14ac:dyDescent="0.25">
      <c r="A172" s="80">
        <v>171</v>
      </c>
      <c r="B172" s="77" t="s">
        <v>1149</v>
      </c>
    </row>
    <row r="173" spans="1:2" x14ac:dyDescent="0.25">
      <c r="A173" s="80">
        <v>172</v>
      </c>
      <c r="B173" s="77" t="s">
        <v>1166</v>
      </c>
    </row>
    <row r="174" spans="1:2" x14ac:dyDescent="0.25">
      <c r="A174" s="80">
        <v>173</v>
      </c>
      <c r="B174" s="77" t="s">
        <v>1185</v>
      </c>
    </row>
    <row r="175" spans="1:2" x14ac:dyDescent="0.25">
      <c r="A175" s="80">
        <v>174</v>
      </c>
      <c r="B175" s="77" t="s">
        <v>1175</v>
      </c>
    </row>
    <row r="176" spans="1:2" x14ac:dyDescent="0.25">
      <c r="A176" s="80">
        <v>175</v>
      </c>
      <c r="B176" s="77" t="s">
        <v>1106</v>
      </c>
    </row>
    <row r="177" spans="1:2" x14ac:dyDescent="0.25">
      <c r="A177" s="80">
        <v>176</v>
      </c>
      <c r="B177" s="77" t="s">
        <v>1209</v>
      </c>
    </row>
    <row r="178" spans="1:2" x14ac:dyDescent="0.25">
      <c r="A178" s="80">
        <v>177</v>
      </c>
      <c r="B178" s="77" t="s">
        <v>1104</v>
      </c>
    </row>
    <row r="179" spans="1:2" x14ac:dyDescent="0.25">
      <c r="A179" s="80">
        <v>178</v>
      </c>
      <c r="B179" s="77" t="s">
        <v>1103</v>
      </c>
    </row>
    <row r="180" spans="1:2" x14ac:dyDescent="0.25">
      <c r="A180" s="80">
        <v>179</v>
      </c>
      <c r="B180" s="77" t="s">
        <v>1212</v>
      </c>
    </row>
    <row r="181" spans="1:2" x14ac:dyDescent="0.25">
      <c r="A181" s="80">
        <v>180</v>
      </c>
      <c r="B181" s="77" t="s">
        <v>1111</v>
      </c>
    </row>
    <row r="182" spans="1:2" x14ac:dyDescent="0.25">
      <c r="A182" s="80">
        <v>181</v>
      </c>
      <c r="B182" s="77" t="s">
        <v>1223</v>
      </c>
    </row>
    <row r="183" spans="1:2" x14ac:dyDescent="0.25">
      <c r="A183" s="80">
        <v>182</v>
      </c>
      <c r="B183" s="77" t="s">
        <v>1168</v>
      </c>
    </row>
    <row r="184" spans="1:2" x14ac:dyDescent="0.25">
      <c r="A184" s="80">
        <v>183</v>
      </c>
      <c r="B184" s="77" t="s">
        <v>1152</v>
      </c>
    </row>
    <row r="185" spans="1:2" x14ac:dyDescent="0.25">
      <c r="A185" s="80">
        <v>184</v>
      </c>
      <c r="B185" s="77" t="s">
        <v>1076</v>
      </c>
    </row>
    <row r="186" spans="1:2" x14ac:dyDescent="0.25">
      <c r="A186" s="80">
        <v>185</v>
      </c>
      <c r="B186" s="77" t="s">
        <v>1134</v>
      </c>
    </row>
    <row r="187" spans="1:2" x14ac:dyDescent="0.25">
      <c r="A187" s="80">
        <v>186</v>
      </c>
      <c r="B187" s="77" t="s">
        <v>1210</v>
      </c>
    </row>
    <row r="188" spans="1:2" x14ac:dyDescent="0.25">
      <c r="A188" s="80">
        <v>187</v>
      </c>
      <c r="B188" s="77" t="s">
        <v>1202</v>
      </c>
    </row>
    <row r="189" spans="1:2" x14ac:dyDescent="0.25">
      <c r="A189" s="80">
        <v>188</v>
      </c>
      <c r="B189" s="77" t="s">
        <v>1109</v>
      </c>
    </row>
    <row r="190" spans="1:2" x14ac:dyDescent="0.25">
      <c r="A190" s="80">
        <v>189</v>
      </c>
      <c r="B190" s="77" t="s">
        <v>1148</v>
      </c>
    </row>
    <row r="191" spans="1:2" x14ac:dyDescent="0.25">
      <c r="A191" s="80">
        <v>190</v>
      </c>
      <c r="B191" s="77" t="s">
        <v>1108</v>
      </c>
    </row>
    <row r="192" spans="1:2" x14ac:dyDescent="0.25">
      <c r="A192" s="80">
        <v>191</v>
      </c>
      <c r="B192" s="77" t="s">
        <v>1169</v>
      </c>
    </row>
    <row r="193" spans="1:2" x14ac:dyDescent="0.25">
      <c r="A193" s="80">
        <v>192</v>
      </c>
      <c r="B193" s="77" t="s">
        <v>1116</v>
      </c>
    </row>
    <row r="194" spans="1:2" x14ac:dyDescent="0.25">
      <c r="A194" s="80">
        <v>193</v>
      </c>
      <c r="B194" s="77" t="s">
        <v>1147</v>
      </c>
    </row>
    <row r="195" spans="1:2" x14ac:dyDescent="0.25">
      <c r="A195" s="80">
        <v>194</v>
      </c>
      <c r="B195" s="77" t="s">
        <v>1132</v>
      </c>
    </row>
    <row r="196" spans="1:2" x14ac:dyDescent="0.25">
      <c r="A196" s="80">
        <v>195</v>
      </c>
      <c r="B196" s="77" t="s">
        <v>1138</v>
      </c>
    </row>
    <row r="197" spans="1:2" x14ac:dyDescent="0.25">
      <c r="A197" s="80">
        <v>196</v>
      </c>
      <c r="B197" s="77" t="s">
        <v>1167</v>
      </c>
    </row>
    <row r="198" spans="1:2" x14ac:dyDescent="0.25">
      <c r="A198" s="80">
        <v>197</v>
      </c>
      <c r="B198" s="77" t="s">
        <v>1154</v>
      </c>
    </row>
    <row r="199" spans="1:2" x14ac:dyDescent="0.25">
      <c r="A199" s="80">
        <v>198</v>
      </c>
      <c r="B199" s="77" t="s">
        <v>1211</v>
      </c>
    </row>
    <row r="200" spans="1:2" x14ac:dyDescent="0.25">
      <c r="A200" s="80">
        <v>199</v>
      </c>
      <c r="B200" s="77" t="s">
        <v>1193</v>
      </c>
    </row>
    <row r="201" spans="1:2" x14ac:dyDescent="0.25">
      <c r="A201" s="80">
        <v>200</v>
      </c>
      <c r="B201" s="77" t="s">
        <v>1200</v>
      </c>
    </row>
    <row r="202" spans="1:2" x14ac:dyDescent="0.25">
      <c r="A202" s="80">
        <v>201</v>
      </c>
      <c r="B202" s="77" t="s">
        <v>1143</v>
      </c>
    </row>
    <row r="203" spans="1:2" x14ac:dyDescent="0.25">
      <c r="A203" s="80">
        <v>202</v>
      </c>
      <c r="B203" s="77" t="s">
        <v>1205</v>
      </c>
    </row>
    <row r="204" spans="1:2" x14ac:dyDescent="0.25">
      <c r="A204" s="80">
        <v>203</v>
      </c>
      <c r="B204" s="77" t="s">
        <v>1155</v>
      </c>
    </row>
    <row r="205" spans="1:2" x14ac:dyDescent="0.25">
      <c r="A205" s="80">
        <v>204</v>
      </c>
      <c r="B205" s="77" t="s">
        <v>1137</v>
      </c>
    </row>
    <row r="206" spans="1:2" x14ac:dyDescent="0.25">
      <c r="A206" s="80">
        <v>205</v>
      </c>
      <c r="B206" s="77" t="s">
        <v>1177</v>
      </c>
    </row>
    <row r="207" spans="1:2" x14ac:dyDescent="0.25">
      <c r="A207" s="80">
        <v>206</v>
      </c>
      <c r="B207" s="77" t="s">
        <v>1100</v>
      </c>
    </row>
    <row r="208" spans="1:2" x14ac:dyDescent="0.25">
      <c r="A208" s="80">
        <v>207</v>
      </c>
      <c r="B208" s="77" t="s">
        <v>1192</v>
      </c>
    </row>
    <row r="209" spans="1:2" x14ac:dyDescent="0.25">
      <c r="A209" s="80">
        <v>208</v>
      </c>
      <c r="B209" s="77" t="s">
        <v>1170</v>
      </c>
    </row>
    <row r="210" spans="1:2" x14ac:dyDescent="0.25">
      <c r="A210" s="80">
        <v>209</v>
      </c>
      <c r="B210" s="77" t="s">
        <v>1165</v>
      </c>
    </row>
    <row r="211" spans="1:2" x14ac:dyDescent="0.25">
      <c r="A211" s="80">
        <v>210</v>
      </c>
      <c r="B211" s="77" t="s">
        <v>1094</v>
      </c>
    </row>
    <row r="212" spans="1:2" x14ac:dyDescent="0.25">
      <c r="A212" s="80">
        <v>211</v>
      </c>
      <c r="B212" s="77" t="s">
        <v>1133</v>
      </c>
    </row>
    <row r="213" spans="1:2" x14ac:dyDescent="0.25">
      <c r="A213" s="80">
        <v>212</v>
      </c>
      <c r="B213" s="77" t="s">
        <v>1206</v>
      </c>
    </row>
    <row r="214" spans="1:2" x14ac:dyDescent="0.25">
      <c r="A214" s="80">
        <v>213</v>
      </c>
      <c r="B214" s="77" t="s">
        <v>1146</v>
      </c>
    </row>
    <row r="215" spans="1:2" x14ac:dyDescent="0.25">
      <c r="A215" s="80">
        <v>214</v>
      </c>
      <c r="B215" s="77" t="s">
        <v>1199</v>
      </c>
    </row>
    <row r="216" spans="1:2" x14ac:dyDescent="0.25">
      <c r="A216" s="80">
        <v>215</v>
      </c>
      <c r="B216" s="77" t="s">
        <v>1204</v>
      </c>
    </row>
    <row r="217" spans="1:2" x14ac:dyDescent="0.25">
      <c r="A217" s="80">
        <v>216</v>
      </c>
      <c r="B217" s="77" t="s">
        <v>1215</v>
      </c>
    </row>
    <row r="218" spans="1:2" x14ac:dyDescent="0.25">
      <c r="A218" s="80">
        <v>217</v>
      </c>
      <c r="B218" s="77" t="s">
        <v>1080</v>
      </c>
    </row>
    <row r="219" spans="1:2" x14ac:dyDescent="0.25">
      <c r="A219" s="80">
        <v>218</v>
      </c>
      <c r="B219" s="77" t="s">
        <v>1180</v>
      </c>
    </row>
    <row r="220" spans="1:2" x14ac:dyDescent="0.25">
      <c r="A220" s="80">
        <v>219</v>
      </c>
      <c r="B220" s="77" t="s">
        <v>1044</v>
      </c>
    </row>
    <row r="221" spans="1:2" x14ac:dyDescent="0.25">
      <c r="A221" s="80">
        <v>220</v>
      </c>
      <c r="B221" s="77" t="s">
        <v>1079</v>
      </c>
    </row>
    <row r="222" spans="1:2" x14ac:dyDescent="0.25">
      <c r="A222" s="80">
        <v>221</v>
      </c>
      <c r="B222" s="77" t="s">
        <v>1020</v>
      </c>
    </row>
    <row r="223" spans="1:2" x14ac:dyDescent="0.25">
      <c r="A223" s="80">
        <v>222</v>
      </c>
      <c r="B223" s="77" t="s">
        <v>1135</v>
      </c>
    </row>
    <row r="224" spans="1:2" x14ac:dyDescent="0.25">
      <c r="A224" s="80">
        <v>223</v>
      </c>
      <c r="B224" s="77" t="s">
        <v>1102</v>
      </c>
    </row>
    <row r="225" spans="1:2" x14ac:dyDescent="0.25">
      <c r="A225" s="80">
        <v>224</v>
      </c>
      <c r="B225" s="77" t="s">
        <v>1031</v>
      </c>
    </row>
    <row r="226" spans="1:2" x14ac:dyDescent="0.25">
      <c r="A226" s="80">
        <v>225</v>
      </c>
      <c r="B226" s="77" t="s">
        <v>1042</v>
      </c>
    </row>
    <row r="227" spans="1:2" x14ac:dyDescent="0.25">
      <c r="A227" s="80">
        <v>226</v>
      </c>
      <c r="B227" s="77" t="s">
        <v>1047</v>
      </c>
    </row>
    <row r="228" spans="1:2" x14ac:dyDescent="0.25">
      <c r="A228" s="80">
        <v>227</v>
      </c>
      <c r="B228" s="77" t="s">
        <v>1163</v>
      </c>
    </row>
    <row r="229" spans="1:2" x14ac:dyDescent="0.25">
      <c r="A229" s="80">
        <v>228</v>
      </c>
      <c r="B229" s="77" t="s">
        <v>1129</v>
      </c>
    </row>
    <row r="230" spans="1:2" x14ac:dyDescent="0.25">
      <c r="A230" s="80">
        <v>229</v>
      </c>
      <c r="B230" s="77" t="s">
        <v>1176</v>
      </c>
    </row>
    <row r="231" spans="1:2" x14ac:dyDescent="0.25">
      <c r="A231" s="80">
        <v>230</v>
      </c>
      <c r="B231" s="77" t="s">
        <v>987</v>
      </c>
    </row>
    <row r="232" spans="1:2" x14ac:dyDescent="0.25">
      <c r="A232" s="80">
        <v>231</v>
      </c>
      <c r="B232" s="77" t="s">
        <v>1197</v>
      </c>
    </row>
    <row r="233" spans="1:2" x14ac:dyDescent="0.25">
      <c r="A233" s="80">
        <v>232</v>
      </c>
      <c r="B233" s="77" t="s">
        <v>1186</v>
      </c>
    </row>
    <row r="234" spans="1:2" x14ac:dyDescent="0.25">
      <c r="A234" s="80">
        <v>233</v>
      </c>
      <c r="B234" s="77" t="s">
        <v>1025</v>
      </c>
    </row>
    <row r="235" spans="1:2" x14ac:dyDescent="0.25">
      <c r="A235" s="80">
        <v>234</v>
      </c>
      <c r="B235" s="77" t="s">
        <v>996</v>
      </c>
    </row>
    <row r="236" spans="1:2" x14ac:dyDescent="0.25">
      <c r="A236" s="80">
        <v>235</v>
      </c>
      <c r="B236" s="77" t="s">
        <v>1231</v>
      </c>
    </row>
    <row r="237" spans="1:2" x14ac:dyDescent="0.25">
      <c r="A237" s="80">
        <v>236</v>
      </c>
      <c r="B237" s="77" t="s">
        <v>1036</v>
      </c>
    </row>
    <row r="238" spans="1:2" x14ac:dyDescent="0.25">
      <c r="A238" s="80">
        <v>237</v>
      </c>
      <c r="B238" s="77" t="s">
        <v>1238</v>
      </c>
    </row>
    <row r="239" spans="1:2" x14ac:dyDescent="0.25">
      <c r="A239" s="80">
        <v>238</v>
      </c>
      <c r="B239" s="77" t="s">
        <v>1225</v>
      </c>
    </row>
    <row r="240" spans="1:2" x14ac:dyDescent="0.25">
      <c r="A240" s="80">
        <v>239</v>
      </c>
      <c r="B240" s="77" t="s">
        <v>1150</v>
      </c>
    </row>
    <row r="241" spans="1:2" x14ac:dyDescent="0.25">
      <c r="A241" s="80">
        <v>240</v>
      </c>
      <c r="B241" s="77" t="s">
        <v>1072</v>
      </c>
    </row>
    <row r="242" spans="1:2" x14ac:dyDescent="0.25">
      <c r="A242" s="80">
        <v>241</v>
      </c>
      <c r="B242" s="77" t="s">
        <v>1018</v>
      </c>
    </row>
    <row r="243" spans="1:2" x14ac:dyDescent="0.25">
      <c r="A243" s="80">
        <v>242</v>
      </c>
      <c r="B243" s="77" t="s">
        <v>1064</v>
      </c>
    </row>
    <row r="244" spans="1:2" x14ac:dyDescent="0.25">
      <c r="A244" s="80">
        <v>243</v>
      </c>
      <c r="B244" s="77" t="s">
        <v>1091</v>
      </c>
    </row>
    <row r="245" spans="1:2" x14ac:dyDescent="0.25">
      <c r="A245" s="80">
        <v>244</v>
      </c>
      <c r="B245" s="77" t="s">
        <v>993</v>
      </c>
    </row>
    <row r="246" spans="1:2" x14ac:dyDescent="0.25">
      <c r="A246" s="80">
        <v>245</v>
      </c>
      <c r="B246" s="77" t="s">
        <v>1081</v>
      </c>
    </row>
    <row r="247" spans="1:2" x14ac:dyDescent="0.25">
      <c r="A247" s="80">
        <v>246</v>
      </c>
      <c r="B247" s="77" t="s">
        <v>988</v>
      </c>
    </row>
    <row r="248" spans="1:2" x14ac:dyDescent="0.25">
      <c r="A248" s="80">
        <v>247</v>
      </c>
      <c r="B248" s="77" t="s">
        <v>1237</v>
      </c>
    </row>
    <row r="249" spans="1:2" x14ac:dyDescent="0.25">
      <c r="A249" s="80">
        <v>248</v>
      </c>
      <c r="B249" s="77" t="s">
        <v>1172</v>
      </c>
    </row>
    <row r="250" spans="1:2" x14ac:dyDescent="0.25">
      <c r="A250" s="80">
        <v>249</v>
      </c>
      <c r="B250" s="77" t="s">
        <v>992</v>
      </c>
    </row>
    <row r="251" spans="1:2" x14ac:dyDescent="0.25">
      <c r="A251" s="80">
        <v>250</v>
      </c>
      <c r="B251" s="77" t="s">
        <v>1227</v>
      </c>
    </row>
    <row r="252" spans="1:2" x14ac:dyDescent="0.25">
      <c r="A252" s="80">
        <v>251</v>
      </c>
      <c r="B252" s="77" t="s">
        <v>1086</v>
      </c>
    </row>
    <row r="253" spans="1:2" x14ac:dyDescent="0.25">
      <c r="A253" s="80">
        <v>252</v>
      </c>
      <c r="B253" s="77" t="s">
        <v>1219</v>
      </c>
    </row>
    <row r="254" spans="1:2" x14ac:dyDescent="0.25">
      <c r="A254" s="80">
        <v>253</v>
      </c>
      <c r="B254" s="77" t="s">
        <v>1007</v>
      </c>
    </row>
    <row r="255" spans="1:2" x14ac:dyDescent="0.25">
      <c r="A255" s="80">
        <v>254</v>
      </c>
      <c r="B255" s="77" t="s">
        <v>1191</v>
      </c>
    </row>
    <row r="256" spans="1:2" x14ac:dyDescent="0.25">
      <c r="A256" s="80">
        <v>255</v>
      </c>
      <c r="B256" s="77" t="s">
        <v>1022</v>
      </c>
    </row>
    <row r="257" spans="1:2" x14ac:dyDescent="0.25">
      <c r="A257" s="80">
        <v>256</v>
      </c>
      <c r="B257" s="77" t="s">
        <v>1115</v>
      </c>
    </row>
    <row r="258" spans="1:2" x14ac:dyDescent="0.25">
      <c r="A258" s="80">
        <v>257</v>
      </c>
      <c r="B258" s="77" t="s">
        <v>980</v>
      </c>
    </row>
    <row r="259" spans="1:2" x14ac:dyDescent="0.25">
      <c r="A259" s="80">
        <v>258</v>
      </c>
      <c r="B259" s="77" t="s">
        <v>1224</v>
      </c>
    </row>
    <row r="260" spans="1:2" x14ac:dyDescent="0.25">
      <c r="A260" s="80">
        <v>259</v>
      </c>
      <c r="B260" s="77" t="s">
        <v>998</v>
      </c>
    </row>
    <row r="261" spans="1:2" x14ac:dyDescent="0.25">
      <c r="A261" s="80">
        <v>260</v>
      </c>
      <c r="B261" s="77" t="s">
        <v>1050</v>
      </c>
    </row>
    <row r="262" spans="1:2" x14ac:dyDescent="0.25">
      <c r="A262" s="80">
        <v>261</v>
      </c>
      <c r="B262" s="77" t="s">
        <v>995</v>
      </c>
    </row>
  </sheetData>
  <sortState xmlns:xlrd2="http://schemas.microsoft.com/office/spreadsheetml/2017/richdata2" ref="B2:B1375">
    <sortCondition ref="B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activeCell="E14" sqref="E14"/>
    </sheetView>
  </sheetViews>
  <sheetFormatPr defaultRowHeight="15" x14ac:dyDescent="0.25"/>
  <cols>
    <col min="1" max="1" width="8" bestFit="1" customWidth="1"/>
    <col min="2" max="2" width="29.7109375" bestFit="1" customWidth="1"/>
  </cols>
  <sheetData>
    <row r="1" spans="1:2" x14ac:dyDescent="0.25">
      <c r="A1" s="78" t="s">
        <v>377</v>
      </c>
      <c r="B1" s="78" t="s">
        <v>384</v>
      </c>
    </row>
    <row r="2" spans="1:2" x14ac:dyDescent="0.25">
      <c r="A2" s="79">
        <v>1</v>
      </c>
      <c r="B2" s="74" t="s">
        <v>974</v>
      </c>
    </row>
    <row r="3" spans="1:2" x14ac:dyDescent="0.25">
      <c r="A3" s="79">
        <v>2</v>
      </c>
      <c r="B3" s="74" t="s">
        <v>975</v>
      </c>
    </row>
    <row r="4" spans="1:2" x14ac:dyDescent="0.25">
      <c r="A4" s="79">
        <v>3</v>
      </c>
      <c r="B4" s="74" t="s">
        <v>967</v>
      </c>
    </row>
    <row r="5" spans="1:2" x14ac:dyDescent="0.25">
      <c r="A5" s="79">
        <v>4</v>
      </c>
      <c r="B5" s="74" t="s">
        <v>970</v>
      </c>
    </row>
    <row r="6" spans="1:2" x14ac:dyDescent="0.25">
      <c r="A6" s="79">
        <v>5</v>
      </c>
      <c r="B6" s="74" t="s">
        <v>973</v>
      </c>
    </row>
    <row r="7" spans="1:2" x14ac:dyDescent="0.25">
      <c r="A7" s="79">
        <v>6</v>
      </c>
      <c r="B7" s="74" t="s">
        <v>969</v>
      </c>
    </row>
    <row r="8" spans="1:2" x14ac:dyDescent="0.25">
      <c r="A8" s="79">
        <v>7</v>
      </c>
      <c r="B8" s="74" t="s">
        <v>966</v>
      </c>
    </row>
    <row r="9" spans="1:2" x14ac:dyDescent="0.25">
      <c r="A9" s="79">
        <v>8</v>
      </c>
      <c r="B9" s="74" t="s">
        <v>968</v>
      </c>
    </row>
    <row r="10" spans="1:2" x14ac:dyDescent="0.25">
      <c r="A10" s="79">
        <v>9</v>
      </c>
      <c r="B10" s="74" t="s">
        <v>971</v>
      </c>
    </row>
    <row r="11" spans="1:2" x14ac:dyDescent="0.25">
      <c r="A11" s="79">
        <v>10</v>
      </c>
      <c r="B11" s="74" t="s">
        <v>972</v>
      </c>
    </row>
  </sheetData>
  <sortState xmlns:xlrd2="http://schemas.microsoft.com/office/spreadsheetml/2017/richdata2" ref="B18:B32">
    <sortCondition ref="B18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Q8"/>
  <sheetViews>
    <sheetView workbookViewId="0">
      <selection activeCell="D28" sqref="D28"/>
    </sheetView>
  </sheetViews>
  <sheetFormatPr defaultRowHeight="12.75" x14ac:dyDescent="0.2"/>
  <cols>
    <col min="1" max="1" width="44.140625" style="30" customWidth="1"/>
    <col min="2" max="13" width="9.140625" style="30" customWidth="1"/>
    <col min="14" max="14" width="3.85546875" style="30" customWidth="1"/>
    <col min="15" max="15" width="12.5703125" style="30" customWidth="1"/>
    <col min="16" max="16" width="11.85546875" style="30" bestFit="1" customWidth="1"/>
    <col min="17" max="17" width="5.140625" style="30" customWidth="1"/>
    <col min="18" max="256" width="9.140625" style="30"/>
    <col min="257" max="257" width="28.7109375" style="30" customWidth="1"/>
    <col min="258" max="269" width="10" style="30" bestFit="1" customWidth="1"/>
    <col min="270" max="270" width="3.85546875" style="30" customWidth="1"/>
    <col min="271" max="271" width="12.5703125" style="30" customWidth="1"/>
    <col min="272" max="512" width="9.140625" style="30"/>
    <col min="513" max="513" width="28.7109375" style="30" customWidth="1"/>
    <col min="514" max="525" width="10" style="30" bestFit="1" customWidth="1"/>
    <col min="526" max="526" width="3.85546875" style="30" customWidth="1"/>
    <col min="527" max="527" width="12.5703125" style="30" customWidth="1"/>
    <col min="528" max="768" width="9.140625" style="30"/>
    <col min="769" max="769" width="28.7109375" style="30" customWidth="1"/>
    <col min="770" max="781" width="10" style="30" bestFit="1" customWidth="1"/>
    <col min="782" max="782" width="3.85546875" style="30" customWidth="1"/>
    <col min="783" max="783" width="12.5703125" style="30" customWidth="1"/>
    <col min="784" max="1024" width="9.140625" style="30"/>
    <col min="1025" max="1025" width="28.7109375" style="30" customWidth="1"/>
    <col min="1026" max="1037" width="10" style="30" bestFit="1" customWidth="1"/>
    <col min="1038" max="1038" width="3.85546875" style="30" customWidth="1"/>
    <col min="1039" max="1039" width="12.5703125" style="30" customWidth="1"/>
    <col min="1040" max="1280" width="9.140625" style="30"/>
    <col min="1281" max="1281" width="28.7109375" style="30" customWidth="1"/>
    <col min="1282" max="1293" width="10" style="30" bestFit="1" customWidth="1"/>
    <col min="1294" max="1294" width="3.85546875" style="30" customWidth="1"/>
    <col min="1295" max="1295" width="12.5703125" style="30" customWidth="1"/>
    <col min="1296" max="1536" width="9.140625" style="30"/>
    <col min="1537" max="1537" width="28.7109375" style="30" customWidth="1"/>
    <col min="1538" max="1549" width="10" style="30" bestFit="1" customWidth="1"/>
    <col min="1550" max="1550" width="3.85546875" style="30" customWidth="1"/>
    <col min="1551" max="1551" width="12.5703125" style="30" customWidth="1"/>
    <col min="1552" max="1792" width="9.140625" style="30"/>
    <col min="1793" max="1793" width="28.7109375" style="30" customWidth="1"/>
    <col min="1794" max="1805" width="10" style="30" bestFit="1" customWidth="1"/>
    <col min="1806" max="1806" width="3.85546875" style="30" customWidth="1"/>
    <col min="1807" max="1807" width="12.5703125" style="30" customWidth="1"/>
    <col min="1808" max="2048" width="9.140625" style="30"/>
    <col min="2049" max="2049" width="28.7109375" style="30" customWidth="1"/>
    <col min="2050" max="2061" width="10" style="30" bestFit="1" customWidth="1"/>
    <col min="2062" max="2062" width="3.85546875" style="30" customWidth="1"/>
    <col min="2063" max="2063" width="12.5703125" style="30" customWidth="1"/>
    <col min="2064" max="2304" width="9.140625" style="30"/>
    <col min="2305" max="2305" width="28.7109375" style="30" customWidth="1"/>
    <col min="2306" max="2317" width="10" style="30" bestFit="1" customWidth="1"/>
    <col min="2318" max="2318" width="3.85546875" style="30" customWidth="1"/>
    <col min="2319" max="2319" width="12.5703125" style="30" customWidth="1"/>
    <col min="2320" max="2560" width="9.140625" style="30"/>
    <col min="2561" max="2561" width="28.7109375" style="30" customWidth="1"/>
    <col min="2562" max="2573" width="10" style="30" bestFit="1" customWidth="1"/>
    <col min="2574" max="2574" width="3.85546875" style="30" customWidth="1"/>
    <col min="2575" max="2575" width="12.5703125" style="30" customWidth="1"/>
    <col min="2576" max="2816" width="9.140625" style="30"/>
    <col min="2817" max="2817" width="28.7109375" style="30" customWidth="1"/>
    <col min="2818" max="2829" width="10" style="30" bestFit="1" customWidth="1"/>
    <col min="2830" max="2830" width="3.85546875" style="30" customWidth="1"/>
    <col min="2831" max="2831" width="12.5703125" style="30" customWidth="1"/>
    <col min="2832" max="3072" width="9.140625" style="30"/>
    <col min="3073" max="3073" width="28.7109375" style="30" customWidth="1"/>
    <col min="3074" max="3085" width="10" style="30" bestFit="1" customWidth="1"/>
    <col min="3086" max="3086" width="3.85546875" style="30" customWidth="1"/>
    <col min="3087" max="3087" width="12.5703125" style="30" customWidth="1"/>
    <col min="3088" max="3328" width="9.140625" style="30"/>
    <col min="3329" max="3329" width="28.7109375" style="30" customWidth="1"/>
    <col min="3330" max="3341" width="10" style="30" bestFit="1" customWidth="1"/>
    <col min="3342" max="3342" width="3.85546875" style="30" customWidth="1"/>
    <col min="3343" max="3343" width="12.5703125" style="30" customWidth="1"/>
    <col min="3344" max="3584" width="9.140625" style="30"/>
    <col min="3585" max="3585" width="28.7109375" style="30" customWidth="1"/>
    <col min="3586" max="3597" width="10" style="30" bestFit="1" customWidth="1"/>
    <col min="3598" max="3598" width="3.85546875" style="30" customWidth="1"/>
    <col min="3599" max="3599" width="12.5703125" style="30" customWidth="1"/>
    <col min="3600" max="3840" width="9.140625" style="30"/>
    <col min="3841" max="3841" width="28.7109375" style="30" customWidth="1"/>
    <col min="3842" max="3853" width="10" style="30" bestFit="1" customWidth="1"/>
    <col min="3854" max="3854" width="3.85546875" style="30" customWidth="1"/>
    <col min="3855" max="3855" width="12.5703125" style="30" customWidth="1"/>
    <col min="3856" max="4096" width="9.140625" style="30"/>
    <col min="4097" max="4097" width="28.7109375" style="30" customWidth="1"/>
    <col min="4098" max="4109" width="10" style="30" bestFit="1" customWidth="1"/>
    <col min="4110" max="4110" width="3.85546875" style="30" customWidth="1"/>
    <col min="4111" max="4111" width="12.5703125" style="30" customWidth="1"/>
    <col min="4112" max="4352" width="9.140625" style="30"/>
    <col min="4353" max="4353" width="28.7109375" style="30" customWidth="1"/>
    <col min="4354" max="4365" width="10" style="30" bestFit="1" customWidth="1"/>
    <col min="4366" max="4366" width="3.85546875" style="30" customWidth="1"/>
    <col min="4367" max="4367" width="12.5703125" style="30" customWidth="1"/>
    <col min="4368" max="4608" width="9.140625" style="30"/>
    <col min="4609" max="4609" width="28.7109375" style="30" customWidth="1"/>
    <col min="4610" max="4621" width="10" style="30" bestFit="1" customWidth="1"/>
    <col min="4622" max="4622" width="3.85546875" style="30" customWidth="1"/>
    <col min="4623" max="4623" width="12.5703125" style="30" customWidth="1"/>
    <col min="4624" max="4864" width="9.140625" style="30"/>
    <col min="4865" max="4865" width="28.7109375" style="30" customWidth="1"/>
    <col min="4866" max="4877" width="10" style="30" bestFit="1" customWidth="1"/>
    <col min="4878" max="4878" width="3.85546875" style="30" customWidth="1"/>
    <col min="4879" max="4879" width="12.5703125" style="30" customWidth="1"/>
    <col min="4880" max="5120" width="9.140625" style="30"/>
    <col min="5121" max="5121" width="28.7109375" style="30" customWidth="1"/>
    <col min="5122" max="5133" width="10" style="30" bestFit="1" customWidth="1"/>
    <col min="5134" max="5134" width="3.85546875" style="30" customWidth="1"/>
    <col min="5135" max="5135" width="12.5703125" style="30" customWidth="1"/>
    <col min="5136" max="5376" width="9.140625" style="30"/>
    <col min="5377" max="5377" width="28.7109375" style="30" customWidth="1"/>
    <col min="5378" max="5389" width="10" style="30" bestFit="1" customWidth="1"/>
    <col min="5390" max="5390" width="3.85546875" style="30" customWidth="1"/>
    <col min="5391" max="5391" width="12.5703125" style="30" customWidth="1"/>
    <col min="5392" max="5632" width="9.140625" style="30"/>
    <col min="5633" max="5633" width="28.7109375" style="30" customWidth="1"/>
    <col min="5634" max="5645" width="10" style="30" bestFit="1" customWidth="1"/>
    <col min="5646" max="5646" width="3.85546875" style="30" customWidth="1"/>
    <col min="5647" max="5647" width="12.5703125" style="30" customWidth="1"/>
    <col min="5648" max="5888" width="9.140625" style="30"/>
    <col min="5889" max="5889" width="28.7109375" style="30" customWidth="1"/>
    <col min="5890" max="5901" width="10" style="30" bestFit="1" customWidth="1"/>
    <col min="5902" max="5902" width="3.85546875" style="30" customWidth="1"/>
    <col min="5903" max="5903" width="12.5703125" style="30" customWidth="1"/>
    <col min="5904" max="6144" width="9.140625" style="30"/>
    <col min="6145" max="6145" width="28.7109375" style="30" customWidth="1"/>
    <col min="6146" max="6157" width="10" style="30" bestFit="1" customWidth="1"/>
    <col min="6158" max="6158" width="3.85546875" style="30" customWidth="1"/>
    <col min="6159" max="6159" width="12.5703125" style="30" customWidth="1"/>
    <col min="6160" max="6400" width="9.140625" style="30"/>
    <col min="6401" max="6401" width="28.7109375" style="30" customWidth="1"/>
    <col min="6402" max="6413" width="10" style="30" bestFit="1" customWidth="1"/>
    <col min="6414" max="6414" width="3.85546875" style="30" customWidth="1"/>
    <col min="6415" max="6415" width="12.5703125" style="30" customWidth="1"/>
    <col min="6416" max="6656" width="9.140625" style="30"/>
    <col min="6657" max="6657" width="28.7109375" style="30" customWidth="1"/>
    <col min="6658" max="6669" width="10" style="30" bestFit="1" customWidth="1"/>
    <col min="6670" max="6670" width="3.85546875" style="30" customWidth="1"/>
    <col min="6671" max="6671" width="12.5703125" style="30" customWidth="1"/>
    <col min="6672" max="6912" width="9.140625" style="30"/>
    <col min="6913" max="6913" width="28.7109375" style="30" customWidth="1"/>
    <col min="6914" max="6925" width="10" style="30" bestFit="1" customWidth="1"/>
    <col min="6926" max="6926" width="3.85546875" style="30" customWidth="1"/>
    <col min="6927" max="6927" width="12.5703125" style="30" customWidth="1"/>
    <col min="6928" max="7168" width="9.140625" style="30"/>
    <col min="7169" max="7169" width="28.7109375" style="30" customWidth="1"/>
    <col min="7170" max="7181" width="10" style="30" bestFit="1" customWidth="1"/>
    <col min="7182" max="7182" width="3.85546875" style="30" customWidth="1"/>
    <col min="7183" max="7183" width="12.5703125" style="30" customWidth="1"/>
    <col min="7184" max="7424" width="9.140625" style="30"/>
    <col min="7425" max="7425" width="28.7109375" style="30" customWidth="1"/>
    <col min="7426" max="7437" width="10" style="30" bestFit="1" customWidth="1"/>
    <col min="7438" max="7438" width="3.85546875" style="30" customWidth="1"/>
    <col min="7439" max="7439" width="12.5703125" style="30" customWidth="1"/>
    <col min="7440" max="7680" width="9.140625" style="30"/>
    <col min="7681" max="7681" width="28.7109375" style="30" customWidth="1"/>
    <col min="7682" max="7693" width="10" style="30" bestFit="1" customWidth="1"/>
    <col min="7694" max="7694" width="3.85546875" style="30" customWidth="1"/>
    <col min="7695" max="7695" width="12.5703125" style="30" customWidth="1"/>
    <col min="7696" max="7936" width="9.140625" style="30"/>
    <col min="7937" max="7937" width="28.7109375" style="30" customWidth="1"/>
    <col min="7938" max="7949" width="10" style="30" bestFit="1" customWidth="1"/>
    <col min="7950" max="7950" width="3.85546875" style="30" customWidth="1"/>
    <col min="7951" max="7951" width="12.5703125" style="30" customWidth="1"/>
    <col min="7952" max="8192" width="9.140625" style="30"/>
    <col min="8193" max="8193" width="28.7109375" style="30" customWidth="1"/>
    <col min="8194" max="8205" width="10" style="30" bestFit="1" customWidth="1"/>
    <col min="8206" max="8206" width="3.85546875" style="30" customWidth="1"/>
    <col min="8207" max="8207" width="12.5703125" style="30" customWidth="1"/>
    <col min="8208" max="8448" width="9.140625" style="30"/>
    <col min="8449" max="8449" width="28.7109375" style="30" customWidth="1"/>
    <col min="8450" max="8461" width="10" style="30" bestFit="1" customWidth="1"/>
    <col min="8462" max="8462" width="3.85546875" style="30" customWidth="1"/>
    <col min="8463" max="8463" width="12.5703125" style="30" customWidth="1"/>
    <col min="8464" max="8704" width="9.140625" style="30"/>
    <col min="8705" max="8705" width="28.7109375" style="30" customWidth="1"/>
    <col min="8706" max="8717" width="10" style="30" bestFit="1" customWidth="1"/>
    <col min="8718" max="8718" width="3.85546875" style="30" customWidth="1"/>
    <col min="8719" max="8719" width="12.5703125" style="30" customWidth="1"/>
    <col min="8720" max="8960" width="9.140625" style="30"/>
    <col min="8961" max="8961" width="28.7109375" style="30" customWidth="1"/>
    <col min="8962" max="8973" width="10" style="30" bestFit="1" customWidth="1"/>
    <col min="8974" max="8974" width="3.85546875" style="30" customWidth="1"/>
    <col min="8975" max="8975" width="12.5703125" style="30" customWidth="1"/>
    <col min="8976" max="9216" width="9.140625" style="30"/>
    <col min="9217" max="9217" width="28.7109375" style="30" customWidth="1"/>
    <col min="9218" max="9229" width="10" style="30" bestFit="1" customWidth="1"/>
    <col min="9230" max="9230" width="3.85546875" style="30" customWidth="1"/>
    <col min="9231" max="9231" width="12.5703125" style="30" customWidth="1"/>
    <col min="9232" max="9472" width="9.140625" style="30"/>
    <col min="9473" max="9473" width="28.7109375" style="30" customWidth="1"/>
    <col min="9474" max="9485" width="10" style="30" bestFit="1" customWidth="1"/>
    <col min="9486" max="9486" width="3.85546875" style="30" customWidth="1"/>
    <col min="9487" max="9487" width="12.5703125" style="30" customWidth="1"/>
    <col min="9488" max="9728" width="9.140625" style="30"/>
    <col min="9729" max="9729" width="28.7109375" style="30" customWidth="1"/>
    <col min="9730" max="9741" width="10" style="30" bestFit="1" customWidth="1"/>
    <col min="9742" max="9742" width="3.85546875" style="30" customWidth="1"/>
    <col min="9743" max="9743" width="12.5703125" style="30" customWidth="1"/>
    <col min="9744" max="9984" width="9.140625" style="30"/>
    <col min="9985" max="9985" width="28.7109375" style="30" customWidth="1"/>
    <col min="9986" max="9997" width="10" style="30" bestFit="1" customWidth="1"/>
    <col min="9998" max="9998" width="3.85546875" style="30" customWidth="1"/>
    <col min="9999" max="9999" width="12.5703125" style="30" customWidth="1"/>
    <col min="10000" max="10240" width="9.140625" style="30"/>
    <col min="10241" max="10241" width="28.7109375" style="30" customWidth="1"/>
    <col min="10242" max="10253" width="10" style="30" bestFit="1" customWidth="1"/>
    <col min="10254" max="10254" width="3.85546875" style="30" customWidth="1"/>
    <col min="10255" max="10255" width="12.5703125" style="30" customWidth="1"/>
    <col min="10256" max="10496" width="9.140625" style="30"/>
    <col min="10497" max="10497" width="28.7109375" style="30" customWidth="1"/>
    <col min="10498" max="10509" width="10" style="30" bestFit="1" customWidth="1"/>
    <col min="10510" max="10510" width="3.85546875" style="30" customWidth="1"/>
    <col min="10511" max="10511" width="12.5703125" style="30" customWidth="1"/>
    <col min="10512" max="10752" width="9.140625" style="30"/>
    <col min="10753" max="10753" width="28.7109375" style="30" customWidth="1"/>
    <col min="10754" max="10765" width="10" style="30" bestFit="1" customWidth="1"/>
    <col min="10766" max="10766" width="3.85546875" style="30" customWidth="1"/>
    <col min="10767" max="10767" width="12.5703125" style="30" customWidth="1"/>
    <col min="10768" max="11008" width="9.140625" style="30"/>
    <col min="11009" max="11009" width="28.7109375" style="30" customWidth="1"/>
    <col min="11010" max="11021" width="10" style="30" bestFit="1" customWidth="1"/>
    <col min="11022" max="11022" width="3.85546875" style="30" customWidth="1"/>
    <col min="11023" max="11023" width="12.5703125" style="30" customWidth="1"/>
    <col min="11024" max="11264" width="9.140625" style="30"/>
    <col min="11265" max="11265" width="28.7109375" style="30" customWidth="1"/>
    <col min="11266" max="11277" width="10" style="30" bestFit="1" customWidth="1"/>
    <col min="11278" max="11278" width="3.85546875" style="30" customWidth="1"/>
    <col min="11279" max="11279" width="12.5703125" style="30" customWidth="1"/>
    <col min="11280" max="11520" width="9.140625" style="30"/>
    <col min="11521" max="11521" width="28.7109375" style="30" customWidth="1"/>
    <col min="11522" max="11533" width="10" style="30" bestFit="1" customWidth="1"/>
    <col min="11534" max="11534" width="3.85546875" style="30" customWidth="1"/>
    <col min="11535" max="11535" width="12.5703125" style="30" customWidth="1"/>
    <col min="11536" max="11776" width="9.140625" style="30"/>
    <col min="11777" max="11777" width="28.7109375" style="30" customWidth="1"/>
    <col min="11778" max="11789" width="10" style="30" bestFit="1" customWidth="1"/>
    <col min="11790" max="11790" width="3.85546875" style="30" customWidth="1"/>
    <col min="11791" max="11791" width="12.5703125" style="30" customWidth="1"/>
    <col min="11792" max="12032" width="9.140625" style="30"/>
    <col min="12033" max="12033" width="28.7109375" style="30" customWidth="1"/>
    <col min="12034" max="12045" width="10" style="30" bestFit="1" customWidth="1"/>
    <col min="12046" max="12046" width="3.85546875" style="30" customWidth="1"/>
    <col min="12047" max="12047" width="12.5703125" style="30" customWidth="1"/>
    <col min="12048" max="12288" width="9.140625" style="30"/>
    <col min="12289" max="12289" width="28.7109375" style="30" customWidth="1"/>
    <col min="12290" max="12301" width="10" style="30" bestFit="1" customWidth="1"/>
    <col min="12302" max="12302" width="3.85546875" style="30" customWidth="1"/>
    <col min="12303" max="12303" width="12.5703125" style="30" customWidth="1"/>
    <col min="12304" max="12544" width="9.140625" style="30"/>
    <col min="12545" max="12545" width="28.7109375" style="30" customWidth="1"/>
    <col min="12546" max="12557" width="10" style="30" bestFit="1" customWidth="1"/>
    <col min="12558" max="12558" width="3.85546875" style="30" customWidth="1"/>
    <col min="12559" max="12559" width="12.5703125" style="30" customWidth="1"/>
    <col min="12560" max="12800" width="9.140625" style="30"/>
    <col min="12801" max="12801" width="28.7109375" style="30" customWidth="1"/>
    <col min="12802" max="12813" width="10" style="30" bestFit="1" customWidth="1"/>
    <col min="12814" max="12814" width="3.85546875" style="30" customWidth="1"/>
    <col min="12815" max="12815" width="12.5703125" style="30" customWidth="1"/>
    <col min="12816" max="13056" width="9.140625" style="30"/>
    <col min="13057" max="13057" width="28.7109375" style="30" customWidth="1"/>
    <col min="13058" max="13069" width="10" style="30" bestFit="1" customWidth="1"/>
    <col min="13070" max="13070" width="3.85546875" style="30" customWidth="1"/>
    <col min="13071" max="13071" width="12.5703125" style="30" customWidth="1"/>
    <col min="13072" max="13312" width="9.140625" style="30"/>
    <col min="13313" max="13313" width="28.7109375" style="30" customWidth="1"/>
    <col min="13314" max="13325" width="10" style="30" bestFit="1" customWidth="1"/>
    <col min="13326" max="13326" width="3.85546875" style="30" customWidth="1"/>
    <col min="13327" max="13327" width="12.5703125" style="30" customWidth="1"/>
    <col min="13328" max="13568" width="9.140625" style="30"/>
    <col min="13569" max="13569" width="28.7109375" style="30" customWidth="1"/>
    <col min="13570" max="13581" width="10" style="30" bestFit="1" customWidth="1"/>
    <col min="13582" max="13582" width="3.85546875" style="30" customWidth="1"/>
    <col min="13583" max="13583" width="12.5703125" style="30" customWidth="1"/>
    <col min="13584" max="13824" width="9.140625" style="30"/>
    <col min="13825" max="13825" width="28.7109375" style="30" customWidth="1"/>
    <col min="13826" max="13837" width="10" style="30" bestFit="1" customWidth="1"/>
    <col min="13838" max="13838" width="3.85546875" style="30" customWidth="1"/>
    <col min="13839" max="13839" width="12.5703125" style="30" customWidth="1"/>
    <col min="13840" max="14080" width="9.140625" style="30"/>
    <col min="14081" max="14081" width="28.7109375" style="30" customWidth="1"/>
    <col min="14082" max="14093" width="10" style="30" bestFit="1" customWidth="1"/>
    <col min="14094" max="14094" width="3.85546875" style="30" customWidth="1"/>
    <col min="14095" max="14095" width="12.5703125" style="30" customWidth="1"/>
    <col min="14096" max="14336" width="9.140625" style="30"/>
    <col min="14337" max="14337" width="28.7109375" style="30" customWidth="1"/>
    <col min="14338" max="14349" width="10" style="30" bestFit="1" customWidth="1"/>
    <col min="14350" max="14350" width="3.85546875" style="30" customWidth="1"/>
    <col min="14351" max="14351" width="12.5703125" style="30" customWidth="1"/>
    <col min="14352" max="14592" width="9.140625" style="30"/>
    <col min="14593" max="14593" width="28.7109375" style="30" customWidth="1"/>
    <col min="14594" max="14605" width="10" style="30" bestFit="1" customWidth="1"/>
    <col min="14606" max="14606" width="3.85546875" style="30" customWidth="1"/>
    <col min="14607" max="14607" width="12.5703125" style="30" customWidth="1"/>
    <col min="14608" max="14848" width="9.140625" style="30"/>
    <col min="14849" max="14849" width="28.7109375" style="30" customWidth="1"/>
    <col min="14850" max="14861" width="10" style="30" bestFit="1" customWidth="1"/>
    <col min="14862" max="14862" width="3.85546875" style="30" customWidth="1"/>
    <col min="14863" max="14863" width="12.5703125" style="30" customWidth="1"/>
    <col min="14864" max="15104" width="9.140625" style="30"/>
    <col min="15105" max="15105" width="28.7109375" style="30" customWidth="1"/>
    <col min="15106" max="15117" width="10" style="30" bestFit="1" customWidth="1"/>
    <col min="15118" max="15118" width="3.85546875" style="30" customWidth="1"/>
    <col min="15119" max="15119" width="12.5703125" style="30" customWidth="1"/>
    <col min="15120" max="15360" width="9.140625" style="30"/>
    <col min="15361" max="15361" width="28.7109375" style="30" customWidth="1"/>
    <col min="15362" max="15373" width="10" style="30" bestFit="1" customWidth="1"/>
    <col min="15374" max="15374" width="3.85546875" style="30" customWidth="1"/>
    <col min="15375" max="15375" width="12.5703125" style="30" customWidth="1"/>
    <col min="15376" max="15616" width="9.140625" style="30"/>
    <col min="15617" max="15617" width="28.7109375" style="30" customWidth="1"/>
    <col min="15618" max="15629" width="10" style="30" bestFit="1" customWidth="1"/>
    <col min="15630" max="15630" width="3.85546875" style="30" customWidth="1"/>
    <col min="15631" max="15631" width="12.5703125" style="30" customWidth="1"/>
    <col min="15632" max="15872" width="9.140625" style="30"/>
    <col min="15873" max="15873" width="28.7109375" style="30" customWidth="1"/>
    <col min="15874" max="15885" width="10" style="30" bestFit="1" customWidth="1"/>
    <col min="15886" max="15886" width="3.85546875" style="30" customWidth="1"/>
    <col min="15887" max="15887" width="12.5703125" style="30" customWidth="1"/>
    <col min="15888" max="16128" width="9.140625" style="30"/>
    <col min="16129" max="16129" width="28.7109375" style="30" customWidth="1"/>
    <col min="16130" max="16141" width="10" style="30" bestFit="1" customWidth="1"/>
    <col min="16142" max="16142" width="3.85546875" style="30" customWidth="1"/>
    <col min="16143" max="16143" width="12.5703125" style="30" customWidth="1"/>
    <col min="16144" max="16384" width="9.140625" style="30"/>
  </cols>
  <sheetData>
    <row r="1" spans="1:17" ht="39" x14ac:dyDescent="0.6">
      <c r="A1" s="132" t="s">
        <v>304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</row>
    <row r="2" spans="1:17" ht="26.25" x14ac:dyDescent="0.4">
      <c r="A2" s="133" t="s">
        <v>305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</row>
    <row r="4" spans="1:17" s="45" customFormat="1" ht="19.5" customHeight="1" x14ac:dyDescent="0.25">
      <c r="A4" s="42" t="s">
        <v>293</v>
      </c>
      <c r="B4" s="43" t="s">
        <v>218</v>
      </c>
      <c r="C4" s="43" t="s">
        <v>219</v>
      </c>
      <c r="D4" s="43" t="s">
        <v>220</v>
      </c>
      <c r="E4" s="43" t="s">
        <v>221</v>
      </c>
      <c r="F4" s="43" t="s">
        <v>222</v>
      </c>
      <c r="G4" s="43" t="s">
        <v>223</v>
      </c>
      <c r="H4" s="43" t="s">
        <v>224</v>
      </c>
      <c r="I4" s="43" t="s">
        <v>225</v>
      </c>
      <c r="J4" s="43" t="s">
        <v>226</v>
      </c>
      <c r="K4" s="43" t="s">
        <v>227</v>
      </c>
      <c r="L4" s="43" t="s">
        <v>228</v>
      </c>
      <c r="M4" s="43" t="s">
        <v>229</v>
      </c>
      <c r="N4" s="44"/>
      <c r="O4" s="43" t="s">
        <v>294</v>
      </c>
      <c r="P4" s="43" t="s">
        <v>231</v>
      </c>
      <c r="Q4" s="43" t="s">
        <v>232</v>
      </c>
    </row>
    <row r="5" spans="1:17" s="31" customFormat="1" x14ac:dyDescent="0.2">
      <c r="B5" s="31">
        <v>2</v>
      </c>
      <c r="C5" s="31">
        <v>3</v>
      </c>
      <c r="D5" s="31">
        <v>4</v>
      </c>
      <c r="E5" s="31">
        <v>5</v>
      </c>
      <c r="F5" s="31">
        <v>6</v>
      </c>
      <c r="G5" s="31">
        <v>7</v>
      </c>
      <c r="H5" s="31">
        <v>8</v>
      </c>
      <c r="I5" s="31">
        <v>9</v>
      </c>
      <c r="J5" s="31">
        <v>10</v>
      </c>
      <c r="K5" s="31">
        <v>11</v>
      </c>
      <c r="L5" s="31">
        <v>12</v>
      </c>
      <c r="M5" s="31">
        <v>13</v>
      </c>
    </row>
    <row r="6" spans="1:17" s="34" customFormat="1" ht="18" customHeight="1" x14ac:dyDescent="0.25">
      <c r="A6" s="39" t="s">
        <v>110</v>
      </c>
      <c r="B6" s="40" t="e">
        <f>VLOOKUP($A$6,Fluxo.Detalhado_2016!$A:$M,B5,0)</f>
        <v>#REF!</v>
      </c>
      <c r="C6" s="40" t="e">
        <f>VLOOKUP($A$6,Fluxo.Detalhado_2016!$A:$M,C5,0)</f>
        <v>#REF!</v>
      </c>
      <c r="D6" s="40" t="e">
        <f>VLOOKUP($A$6,Fluxo.Detalhado_2016!$A:$M,D5,0)</f>
        <v>#REF!</v>
      </c>
      <c r="E6" s="40" t="e">
        <f>VLOOKUP($A$6,Fluxo.Detalhado_2016!$A:$M,E5,0)</f>
        <v>#REF!</v>
      </c>
      <c r="F6" s="40" t="e">
        <f>VLOOKUP($A$6,Fluxo.Detalhado_2016!$A:$M,F5,0)</f>
        <v>#REF!</v>
      </c>
      <c r="G6" s="40" t="e">
        <f>VLOOKUP($A$6,Fluxo.Detalhado_2016!$A:$M,G5,0)</f>
        <v>#REF!</v>
      </c>
      <c r="H6" s="40" t="e">
        <f>VLOOKUP($A$6,Fluxo.Detalhado_2016!$A:$M,H5,0)</f>
        <v>#REF!</v>
      </c>
      <c r="I6" s="40" t="e">
        <f>VLOOKUP($A$6,Fluxo.Detalhado_2016!$A:$M,I5,0)</f>
        <v>#REF!</v>
      </c>
      <c r="J6" s="40" t="e">
        <f>VLOOKUP($A$6,Fluxo.Detalhado_2016!$A:$M,J5,0)</f>
        <v>#REF!</v>
      </c>
      <c r="K6" s="40" t="e">
        <f>VLOOKUP($A$6,Fluxo.Detalhado_2016!$A:$M,K5,0)</f>
        <v>#REF!</v>
      </c>
      <c r="L6" s="40" t="e">
        <f>VLOOKUP($A$6,Fluxo.Detalhado_2016!$A:$M,L5,0)</f>
        <v>#REF!</v>
      </c>
      <c r="M6" s="40" t="e">
        <f>VLOOKUP($A$6,Fluxo.Detalhado_2016!$A:$M,M5,0)</f>
        <v>#REF!</v>
      </c>
      <c r="N6" s="35" t="str">
        <f>A6</f>
        <v>Reuniao Aperfeicoamento - Alimentacao</v>
      </c>
      <c r="O6" s="40" t="e">
        <f>SUM(B6:N6)</f>
        <v>#REF!</v>
      </c>
      <c r="P6" s="40" t="e">
        <f>O6/12</f>
        <v>#REF!</v>
      </c>
      <c r="Q6" s="41" t="e">
        <f>O6/O7</f>
        <v>#REF!</v>
      </c>
    </row>
    <row r="7" spans="1:17" s="34" customFormat="1" ht="18" customHeight="1" x14ac:dyDescent="0.25">
      <c r="A7" s="36" t="str">
        <f>VLOOKUP(A6,Fluxo.Detalhado_2016!A:P,16,0)</f>
        <v>TOTAL DE COLPORTAGEM</v>
      </c>
      <c r="B7" s="37" t="e">
        <f>VLOOKUP($A$7,Fluxo.Detalhado_2016!$A:$M,B5,0)</f>
        <v>#REF!</v>
      </c>
      <c r="C7" s="37" t="e">
        <f>VLOOKUP($A$7,Fluxo.Detalhado_2016!$A:$M,C5,0)</f>
        <v>#REF!</v>
      </c>
      <c r="D7" s="37" t="e">
        <f>VLOOKUP($A$7,Fluxo.Detalhado_2016!$A:$M,D5,0)</f>
        <v>#REF!</v>
      </c>
      <c r="E7" s="37" t="e">
        <f>VLOOKUP($A$7,Fluxo.Detalhado_2016!$A:$M,E5,0)</f>
        <v>#REF!</v>
      </c>
      <c r="F7" s="37" t="e">
        <f>VLOOKUP($A$7,Fluxo.Detalhado_2016!$A:$M,F5,0)</f>
        <v>#REF!</v>
      </c>
      <c r="G7" s="37" t="e">
        <f>VLOOKUP($A$7,Fluxo.Detalhado_2016!$A:$M,G5,0)</f>
        <v>#REF!</v>
      </c>
      <c r="H7" s="37" t="e">
        <f>VLOOKUP($A$7,Fluxo.Detalhado_2016!$A:$M,H5,0)</f>
        <v>#REF!</v>
      </c>
      <c r="I7" s="37" t="e">
        <f>VLOOKUP($A$7,Fluxo.Detalhado_2016!$A:$M,I5,0)</f>
        <v>#REF!</v>
      </c>
      <c r="J7" s="37" t="e">
        <f>VLOOKUP($A$7,Fluxo.Detalhado_2016!$A:$M,J5,0)</f>
        <v>#REF!</v>
      </c>
      <c r="K7" s="37" t="e">
        <f>VLOOKUP($A$7,Fluxo.Detalhado_2016!$A:$M,K5,0)</f>
        <v>#REF!</v>
      </c>
      <c r="L7" s="37" t="e">
        <f>VLOOKUP($A$7,Fluxo.Detalhado_2016!$A:$M,L5,0)</f>
        <v>#REF!</v>
      </c>
      <c r="M7" s="37" t="e">
        <f>VLOOKUP($A$7,Fluxo.Detalhado_2016!$A:$M,M5,0)</f>
        <v>#REF!</v>
      </c>
      <c r="N7" s="35" t="str">
        <f>A7</f>
        <v>TOTAL DE COLPORTAGEM</v>
      </c>
      <c r="O7" s="37" t="e">
        <f>SUM(B7:N7)</f>
        <v>#REF!</v>
      </c>
      <c r="P7" s="37" t="e">
        <f>O7/12</f>
        <v>#REF!</v>
      </c>
      <c r="Q7" s="38">
        <v>1</v>
      </c>
    </row>
    <row r="8" spans="1:17" s="31" customFormat="1" x14ac:dyDescent="0.2">
      <c r="B8" s="31">
        <v>2</v>
      </c>
      <c r="C8" s="31">
        <v>3</v>
      </c>
      <c r="D8" s="31">
        <v>4</v>
      </c>
      <c r="E8" s="31">
        <v>5</v>
      </c>
      <c r="F8" s="31">
        <v>6</v>
      </c>
      <c r="G8" s="31">
        <v>7</v>
      </c>
      <c r="H8" s="31">
        <v>8</v>
      </c>
      <c r="I8" s="31">
        <v>9</v>
      </c>
      <c r="J8" s="31">
        <v>10</v>
      </c>
      <c r="K8" s="31">
        <v>11</v>
      </c>
      <c r="L8" s="31">
        <v>12</v>
      </c>
      <c r="M8" s="31">
        <v>13</v>
      </c>
      <c r="O8" s="31">
        <v>15</v>
      </c>
    </row>
  </sheetData>
  <mergeCells count="2">
    <mergeCell ref="A1:Q1"/>
    <mergeCell ref="A2:Q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Fluxo.Detalhado_2016!$A$3:$A$129</xm:f>
          </x14:formula1>
          <xm:sqref>A6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P22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1" sqref="P1:P1048576"/>
    </sheetView>
  </sheetViews>
  <sheetFormatPr defaultRowHeight="15" x14ac:dyDescent="0.25"/>
  <cols>
    <col min="1" max="1" width="37.28515625" customWidth="1"/>
    <col min="14" max="14" width="1.140625" customWidth="1"/>
    <col min="15" max="15" width="15.42578125" customWidth="1"/>
    <col min="16" max="16" width="39.28515625" style="33" hidden="1" customWidth="1"/>
  </cols>
  <sheetData>
    <row r="1" spans="1:16" s="5" customFormat="1" ht="12.75" x14ac:dyDescent="0.2">
      <c r="A1" s="2" t="s">
        <v>217</v>
      </c>
      <c r="B1" s="3" t="s">
        <v>218</v>
      </c>
      <c r="C1" s="3" t="s">
        <v>219</v>
      </c>
      <c r="D1" s="3" t="s">
        <v>220</v>
      </c>
      <c r="E1" s="3" t="s">
        <v>221</v>
      </c>
      <c r="F1" s="3" t="s">
        <v>222</v>
      </c>
      <c r="G1" s="3" t="s">
        <v>223</v>
      </c>
      <c r="H1" s="3" t="s">
        <v>224</v>
      </c>
      <c r="I1" s="3" t="s">
        <v>225</v>
      </c>
      <c r="J1" s="3" t="s">
        <v>226</v>
      </c>
      <c r="K1" s="3" t="s">
        <v>227</v>
      </c>
      <c r="L1" s="3" t="s">
        <v>228</v>
      </c>
      <c r="M1" s="3" t="s">
        <v>229</v>
      </c>
      <c r="N1" s="4"/>
      <c r="O1" s="3" t="s">
        <v>230</v>
      </c>
      <c r="P1" s="32"/>
    </row>
    <row r="2" spans="1:16" s="5" customFormat="1" ht="12.75" hidden="1" x14ac:dyDescent="0.2">
      <c r="A2" s="6"/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4"/>
      <c r="O2" s="7"/>
      <c r="P2" s="32"/>
    </row>
    <row r="3" spans="1:16" x14ac:dyDescent="0.25">
      <c r="A3" s="8" t="s">
        <v>87</v>
      </c>
    </row>
    <row r="4" spans="1:16" x14ac:dyDescent="0.25">
      <c r="A4" s="9" t="s">
        <v>88</v>
      </c>
      <c r="B4" s="10" t="e">
        <f>SUMIFS(#REF!,#REF!,$A4,#REF!,B$2)</f>
        <v>#REF!</v>
      </c>
      <c r="C4" s="10" t="e">
        <f>SUMIFS(#REF!,#REF!,$A4,#REF!,C$2)</f>
        <v>#REF!</v>
      </c>
      <c r="D4" s="10" t="e">
        <f>SUMIFS(#REF!,#REF!,$A4,#REF!,D$2)</f>
        <v>#REF!</v>
      </c>
      <c r="E4" s="10" t="e">
        <f>SUMIFS(#REF!,#REF!,$A4,#REF!,E$2)</f>
        <v>#REF!</v>
      </c>
      <c r="F4" s="10" t="e">
        <f>SUMIFS(#REF!,#REF!,$A4,#REF!,F$2)</f>
        <v>#REF!</v>
      </c>
      <c r="G4" s="10" t="e">
        <f>SUMIFS(#REF!,#REF!,$A4,#REF!,G$2)</f>
        <v>#REF!</v>
      </c>
      <c r="H4" s="10" t="e">
        <f>SUMIFS(#REF!,#REF!,$A4,#REF!,H$2)</f>
        <v>#REF!</v>
      </c>
      <c r="I4" s="10" t="e">
        <f>SUMIFS(#REF!,#REF!,$A4,#REF!,I$2)</f>
        <v>#REF!</v>
      </c>
      <c r="J4" s="10" t="e">
        <f>SUMIFS(#REF!,#REF!,$A4,#REF!,J$2)</f>
        <v>#REF!</v>
      </c>
      <c r="K4" s="10" t="e">
        <f>SUMIFS(#REF!,#REF!,$A4,#REF!,K$2)</f>
        <v>#REF!</v>
      </c>
      <c r="L4" s="10" t="e">
        <f>SUMIFS(#REF!,#REF!,$A4,#REF!,L$2)</f>
        <v>#REF!</v>
      </c>
      <c r="M4" s="10" t="e">
        <f>SUMIFS(#REF!,#REF!,$A4,#REF!,M$2)</f>
        <v>#REF!</v>
      </c>
      <c r="O4" s="10" t="e">
        <f>SUM(B4:N4)</f>
        <v>#REF!</v>
      </c>
      <c r="P4" s="21" t="s">
        <v>264</v>
      </c>
    </row>
    <row r="5" spans="1:16" x14ac:dyDescent="0.25">
      <c r="A5" s="13" t="s">
        <v>89</v>
      </c>
      <c r="B5" s="10" t="e">
        <f>SUMIFS(#REF!,#REF!,$A5,#REF!,B$2)</f>
        <v>#REF!</v>
      </c>
      <c r="C5" s="10" t="e">
        <f>SUMIFS(#REF!,#REF!,$A5,#REF!,C$2)</f>
        <v>#REF!</v>
      </c>
      <c r="D5" s="10" t="e">
        <f>SUMIFS(#REF!,#REF!,$A5,#REF!,D$2)</f>
        <v>#REF!</v>
      </c>
      <c r="E5" s="10" t="e">
        <f>SUMIFS(#REF!,#REF!,$A5,#REF!,E$2)</f>
        <v>#REF!</v>
      </c>
      <c r="F5" s="10" t="e">
        <f>SUMIFS(#REF!,#REF!,$A5,#REF!,F$2)</f>
        <v>#REF!</v>
      </c>
      <c r="G5" s="10" t="e">
        <f>SUMIFS(#REF!,#REF!,$A5,#REF!,G$2)</f>
        <v>#REF!</v>
      </c>
      <c r="H5" s="10" t="e">
        <f>SUMIFS(#REF!,#REF!,$A5,#REF!,H$2)</f>
        <v>#REF!</v>
      </c>
      <c r="I5" s="10" t="e">
        <f>SUMIFS(#REF!,#REF!,$A5,#REF!,I$2)</f>
        <v>#REF!</v>
      </c>
      <c r="J5" s="10" t="e">
        <f>SUMIFS(#REF!,#REF!,$A5,#REF!,J$2)</f>
        <v>#REF!</v>
      </c>
      <c r="K5" s="10" t="e">
        <f>SUMIFS(#REF!,#REF!,$A5,#REF!,K$2)</f>
        <v>#REF!</v>
      </c>
      <c r="L5" s="10" t="e">
        <f>SUMIFS(#REF!,#REF!,$A5,#REF!,L$2)</f>
        <v>#REF!</v>
      </c>
      <c r="M5" s="10" t="e">
        <f>SUMIFS(#REF!,#REF!,$A5,#REF!,M$2)</f>
        <v>#REF!</v>
      </c>
      <c r="O5" s="10" t="e">
        <f t="shared" ref="O5:O7" si="0">SUM(B5:N5)</f>
        <v>#REF!</v>
      </c>
      <c r="P5" s="21" t="s">
        <v>264</v>
      </c>
    </row>
    <row r="6" spans="1:16" x14ac:dyDescent="0.25">
      <c r="A6" s="13" t="s">
        <v>95</v>
      </c>
      <c r="B6" s="10" t="e">
        <f>SUMIFS(#REF!,#REF!,$A6,#REF!,B$2)</f>
        <v>#REF!</v>
      </c>
      <c r="C6" s="10" t="e">
        <f>SUMIFS(#REF!,#REF!,$A6,#REF!,C$2)</f>
        <v>#REF!</v>
      </c>
      <c r="D6" s="10" t="e">
        <f>SUMIFS(#REF!,#REF!,$A6,#REF!,D$2)</f>
        <v>#REF!</v>
      </c>
      <c r="E6" s="10" t="e">
        <f>SUMIFS(#REF!,#REF!,$A6,#REF!,E$2)</f>
        <v>#REF!</v>
      </c>
      <c r="F6" s="10" t="e">
        <f>SUMIFS(#REF!,#REF!,$A6,#REF!,F$2)</f>
        <v>#REF!</v>
      </c>
      <c r="G6" s="10" t="e">
        <f>SUMIFS(#REF!,#REF!,$A6,#REF!,G$2)</f>
        <v>#REF!</v>
      </c>
      <c r="H6" s="10" t="e">
        <f>SUMIFS(#REF!,#REF!,$A6,#REF!,H$2)</f>
        <v>#REF!</v>
      </c>
      <c r="I6" s="10" t="e">
        <f>SUMIFS(#REF!,#REF!,$A6,#REF!,I$2)</f>
        <v>#REF!</v>
      </c>
      <c r="J6" s="10" t="e">
        <f>SUMIFS(#REF!,#REF!,$A6,#REF!,J$2)</f>
        <v>#REF!</v>
      </c>
      <c r="K6" s="10" t="e">
        <f>SUMIFS(#REF!,#REF!,$A6,#REF!,K$2)</f>
        <v>#REF!</v>
      </c>
      <c r="L6" s="10" t="e">
        <f>SUMIFS(#REF!,#REF!,$A6,#REF!,L$2)</f>
        <v>#REF!</v>
      </c>
      <c r="M6" s="10" t="e">
        <f>SUMIFS(#REF!,#REF!,$A6,#REF!,M$2)</f>
        <v>#REF!</v>
      </c>
      <c r="O6" s="10" t="e">
        <f t="shared" si="0"/>
        <v>#REF!</v>
      </c>
      <c r="P6" s="21" t="s">
        <v>264</v>
      </c>
    </row>
    <row r="7" spans="1:16" x14ac:dyDescent="0.25">
      <c r="A7" s="13" t="s">
        <v>96</v>
      </c>
      <c r="B7" s="10" t="e">
        <f>SUMIFS(#REF!,#REF!,$A7,#REF!,B$2)</f>
        <v>#REF!</v>
      </c>
      <c r="C7" s="10" t="e">
        <f>SUMIFS(#REF!,#REF!,$A7,#REF!,C$2)</f>
        <v>#REF!</v>
      </c>
      <c r="D7" s="10" t="e">
        <f>SUMIFS(#REF!,#REF!,$A7,#REF!,D$2)</f>
        <v>#REF!</v>
      </c>
      <c r="E7" s="10" t="e">
        <f>SUMIFS(#REF!,#REF!,$A7,#REF!,E$2)</f>
        <v>#REF!</v>
      </c>
      <c r="F7" s="10" t="e">
        <f>SUMIFS(#REF!,#REF!,$A7,#REF!,F$2)</f>
        <v>#REF!</v>
      </c>
      <c r="G7" s="10" t="e">
        <f>SUMIFS(#REF!,#REF!,$A7,#REF!,G$2)</f>
        <v>#REF!</v>
      </c>
      <c r="H7" s="10" t="e">
        <f>SUMIFS(#REF!,#REF!,$A7,#REF!,H$2)</f>
        <v>#REF!</v>
      </c>
      <c r="I7" s="10" t="e">
        <f>SUMIFS(#REF!,#REF!,$A7,#REF!,I$2)</f>
        <v>#REF!</v>
      </c>
      <c r="J7" s="10" t="e">
        <f>SUMIFS(#REF!,#REF!,$A7,#REF!,J$2)</f>
        <v>#REF!</v>
      </c>
      <c r="K7" s="10" t="e">
        <f>SUMIFS(#REF!,#REF!,$A7,#REF!,K$2)</f>
        <v>#REF!</v>
      </c>
      <c r="L7" s="10" t="e">
        <f>SUMIFS(#REF!,#REF!,$A7,#REF!,L$2)</f>
        <v>#REF!</v>
      </c>
      <c r="M7" s="10" t="e">
        <f>SUMIFS(#REF!,#REF!,$A7,#REF!,M$2)</f>
        <v>#REF!</v>
      </c>
      <c r="O7" s="10" t="e">
        <f t="shared" si="0"/>
        <v>#REF!</v>
      </c>
      <c r="P7" s="21" t="s">
        <v>264</v>
      </c>
    </row>
    <row r="8" spans="1:16" x14ac:dyDescent="0.25">
      <c r="A8" s="15" t="s">
        <v>261</v>
      </c>
      <c r="B8" s="16" t="e">
        <f t="shared" ref="B8:M8" si="1">SUM(B4:B7)</f>
        <v>#REF!</v>
      </c>
      <c r="C8" s="16" t="e">
        <f t="shared" si="1"/>
        <v>#REF!</v>
      </c>
      <c r="D8" s="16" t="e">
        <f t="shared" si="1"/>
        <v>#REF!</v>
      </c>
      <c r="E8" s="16" t="e">
        <f t="shared" si="1"/>
        <v>#REF!</v>
      </c>
      <c r="F8" s="16" t="e">
        <f t="shared" si="1"/>
        <v>#REF!</v>
      </c>
      <c r="G8" s="16" t="e">
        <f t="shared" si="1"/>
        <v>#REF!</v>
      </c>
      <c r="H8" s="16" t="e">
        <f t="shared" si="1"/>
        <v>#REF!</v>
      </c>
      <c r="I8" s="16" t="e">
        <f t="shared" si="1"/>
        <v>#REF!</v>
      </c>
      <c r="J8" s="16" t="e">
        <f t="shared" si="1"/>
        <v>#REF!</v>
      </c>
      <c r="K8" s="16" t="e">
        <f t="shared" si="1"/>
        <v>#REF!</v>
      </c>
      <c r="L8" s="16" t="e">
        <f t="shared" si="1"/>
        <v>#REF!</v>
      </c>
      <c r="M8" s="16" t="e">
        <f t="shared" si="1"/>
        <v>#REF!</v>
      </c>
      <c r="O8" s="16" t="e">
        <f>SUM(O4:O7)</f>
        <v>#REF!</v>
      </c>
      <c r="P8" s="21" t="s">
        <v>264</v>
      </c>
    </row>
    <row r="9" spans="1:16" x14ac:dyDescent="0.25">
      <c r="A9" s="8" t="s">
        <v>262</v>
      </c>
      <c r="P9" s="33" t="s">
        <v>295</v>
      </c>
    </row>
    <row r="10" spans="1:16" x14ac:dyDescent="0.25">
      <c r="A10" s="13" t="s">
        <v>99</v>
      </c>
      <c r="B10" s="10" t="e">
        <f>SUMIFS(#REF!,#REF!,$A10,#REF!,B$2)</f>
        <v>#REF!</v>
      </c>
      <c r="C10" s="10" t="e">
        <f>SUMIFS(#REF!,#REF!,$A10,#REF!,C$2)</f>
        <v>#REF!</v>
      </c>
      <c r="D10" s="10" t="e">
        <f>SUMIFS(#REF!,#REF!,$A10,#REF!,D$2)</f>
        <v>#REF!</v>
      </c>
      <c r="E10" s="10" t="e">
        <f>SUMIFS(#REF!,#REF!,$A10,#REF!,E$2)</f>
        <v>#REF!</v>
      </c>
      <c r="F10" s="10" t="e">
        <f>SUMIFS(#REF!,#REF!,$A10,#REF!,F$2)</f>
        <v>#REF!</v>
      </c>
      <c r="G10" s="10" t="e">
        <f>SUMIFS(#REF!,#REF!,$A10,#REF!,G$2)</f>
        <v>#REF!</v>
      </c>
      <c r="H10" s="10" t="e">
        <f>SUMIFS(#REF!,#REF!,$A10,#REF!,H$2)</f>
        <v>#REF!</v>
      </c>
      <c r="I10" s="10" t="e">
        <f>SUMIFS(#REF!,#REF!,$A10,#REF!,I$2)</f>
        <v>#REF!</v>
      </c>
      <c r="J10" s="10" t="e">
        <f>SUMIFS(#REF!,#REF!,$A10,#REF!,J$2)</f>
        <v>#REF!</v>
      </c>
      <c r="K10" s="10" t="e">
        <f>SUMIFS(#REF!,#REF!,$A10,#REF!,K$2)</f>
        <v>#REF!</v>
      </c>
      <c r="L10" s="10" t="e">
        <f>SUMIFS(#REF!,#REF!,$A10,#REF!,L$2)</f>
        <v>#REF!</v>
      </c>
      <c r="M10" s="10" t="e">
        <f>SUMIFS(#REF!,#REF!,$A10,#REF!,M$2)</f>
        <v>#REF!</v>
      </c>
      <c r="O10" s="10" t="e">
        <f t="shared" ref="O10:O13" si="2">SUM(B10:N10)</f>
        <v>#REF!</v>
      </c>
      <c r="P10" s="21" t="s">
        <v>264</v>
      </c>
    </row>
    <row r="11" spans="1:16" x14ac:dyDescent="0.25">
      <c r="A11" s="13" t="s">
        <v>202</v>
      </c>
      <c r="B11" s="10" t="e">
        <f>SUMIFS(#REF!,#REF!,$A11,#REF!,B$2)</f>
        <v>#REF!</v>
      </c>
      <c r="C11" s="10" t="e">
        <f>SUMIFS(#REF!,#REF!,$A11,#REF!,C$2)</f>
        <v>#REF!</v>
      </c>
      <c r="D11" s="10" t="e">
        <f>SUMIFS(#REF!,#REF!,$A11,#REF!,D$2)</f>
        <v>#REF!</v>
      </c>
      <c r="E11" s="10" t="e">
        <f>SUMIFS(#REF!,#REF!,$A11,#REF!,E$2)</f>
        <v>#REF!</v>
      </c>
      <c r="F11" s="10" t="e">
        <f>SUMIFS(#REF!,#REF!,$A11,#REF!,F$2)</f>
        <v>#REF!</v>
      </c>
      <c r="G11" s="10" t="e">
        <f>SUMIFS(#REF!,#REF!,$A11,#REF!,G$2)</f>
        <v>#REF!</v>
      </c>
      <c r="H11" s="10" t="e">
        <f>SUMIFS(#REF!,#REF!,$A11,#REF!,H$2)</f>
        <v>#REF!</v>
      </c>
      <c r="I11" s="10" t="e">
        <f>SUMIFS(#REF!,#REF!,$A11,#REF!,I$2)</f>
        <v>#REF!</v>
      </c>
      <c r="J11" s="10" t="e">
        <f>SUMIFS(#REF!,#REF!,$A11,#REF!,J$2)</f>
        <v>#REF!</v>
      </c>
      <c r="K11" s="10" t="e">
        <f>SUMIFS(#REF!,#REF!,$A11,#REF!,K$2)</f>
        <v>#REF!</v>
      </c>
      <c r="L11" s="10" t="e">
        <f>SUMIFS(#REF!,#REF!,$A11,#REF!,L$2)</f>
        <v>#REF!</v>
      </c>
      <c r="M11" s="10" t="e">
        <f>SUMIFS(#REF!,#REF!,$A11,#REF!,M$2)</f>
        <v>#REF!</v>
      </c>
      <c r="O11" s="10" t="e">
        <f t="shared" si="2"/>
        <v>#REF!</v>
      </c>
      <c r="P11" s="21" t="s">
        <v>264</v>
      </c>
    </row>
    <row r="12" spans="1:16" x14ac:dyDescent="0.25">
      <c r="A12" s="13" t="s">
        <v>101</v>
      </c>
      <c r="B12" s="10" t="e">
        <f>SUMIFS(#REF!,#REF!,$A12,#REF!,B$2)</f>
        <v>#REF!</v>
      </c>
      <c r="C12" s="10" t="e">
        <f>SUMIFS(#REF!,#REF!,$A12,#REF!,C$2)</f>
        <v>#REF!</v>
      </c>
      <c r="D12" s="10" t="e">
        <f>SUMIFS(#REF!,#REF!,$A12,#REF!,D$2)</f>
        <v>#REF!</v>
      </c>
      <c r="E12" s="10" t="e">
        <f>SUMIFS(#REF!,#REF!,$A12,#REF!,E$2)</f>
        <v>#REF!</v>
      </c>
      <c r="F12" s="10" t="e">
        <f>SUMIFS(#REF!,#REF!,$A12,#REF!,F$2)</f>
        <v>#REF!</v>
      </c>
      <c r="G12" s="10" t="e">
        <f>SUMIFS(#REF!,#REF!,$A12,#REF!,G$2)</f>
        <v>#REF!</v>
      </c>
      <c r="H12" s="10" t="e">
        <f>SUMIFS(#REF!,#REF!,$A12,#REF!,H$2)</f>
        <v>#REF!</v>
      </c>
      <c r="I12" s="10" t="e">
        <f>SUMIFS(#REF!,#REF!,$A12,#REF!,I$2)</f>
        <v>#REF!</v>
      </c>
      <c r="J12" s="10" t="e">
        <f>SUMIFS(#REF!,#REF!,$A12,#REF!,J$2)</f>
        <v>#REF!</v>
      </c>
      <c r="K12" s="10" t="e">
        <f>SUMIFS(#REF!,#REF!,$A12,#REF!,K$2)</f>
        <v>#REF!</v>
      </c>
      <c r="L12" s="10" t="e">
        <f>SUMIFS(#REF!,#REF!,$A12,#REF!,L$2)</f>
        <v>#REF!</v>
      </c>
      <c r="M12" s="10" t="e">
        <f>SUMIFS(#REF!,#REF!,$A12,#REF!,M$2)</f>
        <v>#REF!</v>
      </c>
      <c r="O12" s="10" t="e">
        <f t="shared" si="2"/>
        <v>#REF!</v>
      </c>
      <c r="P12" s="21" t="s">
        <v>264</v>
      </c>
    </row>
    <row r="13" spans="1:16" x14ac:dyDescent="0.25">
      <c r="A13" s="13" t="s">
        <v>102</v>
      </c>
      <c r="B13" s="10" t="e">
        <f>SUMIFS(#REF!,#REF!,$A13,#REF!,B$2)</f>
        <v>#REF!</v>
      </c>
      <c r="C13" s="10" t="e">
        <f>SUMIFS(#REF!,#REF!,$A13,#REF!,C$2)</f>
        <v>#REF!</v>
      </c>
      <c r="D13" s="10" t="e">
        <f>SUMIFS(#REF!,#REF!,$A13,#REF!,D$2)</f>
        <v>#REF!</v>
      </c>
      <c r="E13" s="10" t="e">
        <f>SUMIFS(#REF!,#REF!,$A13,#REF!,E$2)</f>
        <v>#REF!</v>
      </c>
      <c r="F13" s="10" t="e">
        <f>SUMIFS(#REF!,#REF!,$A13,#REF!,F$2)</f>
        <v>#REF!</v>
      </c>
      <c r="G13" s="10" t="e">
        <f>SUMIFS(#REF!,#REF!,$A13,#REF!,G$2)</f>
        <v>#REF!</v>
      </c>
      <c r="H13" s="10" t="e">
        <f>SUMIFS(#REF!,#REF!,$A13,#REF!,H$2)</f>
        <v>#REF!</v>
      </c>
      <c r="I13" s="10" t="e">
        <f>SUMIFS(#REF!,#REF!,$A13,#REF!,I$2)</f>
        <v>#REF!</v>
      </c>
      <c r="J13" s="10" t="e">
        <f>SUMIFS(#REF!,#REF!,$A13,#REF!,J$2)</f>
        <v>#REF!</v>
      </c>
      <c r="K13" s="10" t="e">
        <f>SUMIFS(#REF!,#REF!,$A13,#REF!,K$2)</f>
        <v>#REF!</v>
      </c>
      <c r="L13" s="10" t="e">
        <f>SUMIFS(#REF!,#REF!,$A13,#REF!,L$2)</f>
        <v>#REF!</v>
      </c>
      <c r="M13" s="10" t="e">
        <f>SUMIFS(#REF!,#REF!,$A13,#REF!,M$2)</f>
        <v>#REF!</v>
      </c>
      <c r="O13" s="10" t="e">
        <f t="shared" si="2"/>
        <v>#REF!</v>
      </c>
      <c r="P13" s="21" t="s">
        <v>264</v>
      </c>
    </row>
    <row r="14" spans="1:16" x14ac:dyDescent="0.25">
      <c r="A14" s="15" t="s">
        <v>263</v>
      </c>
      <c r="B14" s="16" t="e">
        <f t="shared" ref="B14:M14" si="3">SUM(B10:B13)</f>
        <v>#REF!</v>
      </c>
      <c r="C14" s="16" t="e">
        <f t="shared" si="3"/>
        <v>#REF!</v>
      </c>
      <c r="D14" s="16" t="e">
        <f t="shared" si="3"/>
        <v>#REF!</v>
      </c>
      <c r="E14" s="16" t="e">
        <f t="shared" si="3"/>
        <v>#REF!</v>
      </c>
      <c r="F14" s="16" t="e">
        <f t="shared" si="3"/>
        <v>#REF!</v>
      </c>
      <c r="G14" s="16" t="e">
        <f t="shared" si="3"/>
        <v>#REF!</v>
      </c>
      <c r="H14" s="16" t="e">
        <f t="shared" si="3"/>
        <v>#REF!</v>
      </c>
      <c r="I14" s="16" t="e">
        <f t="shared" si="3"/>
        <v>#REF!</v>
      </c>
      <c r="J14" s="16" t="e">
        <f t="shared" si="3"/>
        <v>#REF!</v>
      </c>
      <c r="K14" s="16" t="e">
        <f t="shared" si="3"/>
        <v>#REF!</v>
      </c>
      <c r="L14" s="16" t="e">
        <f t="shared" si="3"/>
        <v>#REF!</v>
      </c>
      <c r="M14" s="16" t="e">
        <f t="shared" si="3"/>
        <v>#REF!</v>
      </c>
      <c r="O14" s="16" t="e">
        <f>SUM(O10:O13)</f>
        <v>#REF!</v>
      </c>
      <c r="P14" s="21" t="s">
        <v>264</v>
      </c>
    </row>
    <row r="15" spans="1:16" x14ac:dyDescent="0.25">
      <c r="A15" s="8"/>
      <c r="P15" s="33" t="s">
        <v>295</v>
      </c>
    </row>
    <row r="16" spans="1:16" x14ac:dyDescent="0.25">
      <c r="A16" s="21" t="s">
        <v>264</v>
      </c>
      <c r="B16" s="20" t="e">
        <f t="shared" ref="B16:M16" si="4">B8+B14</f>
        <v>#REF!</v>
      </c>
      <c r="C16" s="20" t="e">
        <f t="shared" si="4"/>
        <v>#REF!</v>
      </c>
      <c r="D16" s="20" t="e">
        <f t="shared" si="4"/>
        <v>#REF!</v>
      </c>
      <c r="E16" s="20" t="e">
        <f t="shared" si="4"/>
        <v>#REF!</v>
      </c>
      <c r="F16" s="20" t="e">
        <f t="shared" si="4"/>
        <v>#REF!</v>
      </c>
      <c r="G16" s="20" t="e">
        <f t="shared" si="4"/>
        <v>#REF!</v>
      </c>
      <c r="H16" s="20" t="e">
        <f t="shared" si="4"/>
        <v>#REF!</v>
      </c>
      <c r="I16" s="20" t="e">
        <f t="shared" si="4"/>
        <v>#REF!</v>
      </c>
      <c r="J16" s="20" t="e">
        <f t="shared" si="4"/>
        <v>#REF!</v>
      </c>
      <c r="K16" s="20" t="e">
        <f t="shared" si="4"/>
        <v>#REF!</v>
      </c>
      <c r="L16" s="20" t="e">
        <f t="shared" si="4"/>
        <v>#REF!</v>
      </c>
      <c r="M16" s="20" t="e">
        <f t="shared" si="4"/>
        <v>#REF!</v>
      </c>
      <c r="O16" s="20" t="e">
        <f>O8+O14</f>
        <v>#REF!</v>
      </c>
      <c r="P16" s="21" t="s">
        <v>264</v>
      </c>
    </row>
    <row r="17" spans="1:16" x14ac:dyDescent="0.25">
      <c r="P17" s="33" t="s">
        <v>295</v>
      </c>
    </row>
    <row r="18" spans="1:16" x14ac:dyDescent="0.25">
      <c r="A18" s="8" t="s">
        <v>105</v>
      </c>
      <c r="P18" s="33" t="s">
        <v>295</v>
      </c>
    </row>
    <row r="19" spans="1:16" x14ac:dyDescent="0.25">
      <c r="A19" s="9" t="s">
        <v>106</v>
      </c>
      <c r="B19" s="10" t="e">
        <f>-SUMIFS(#REF!,#REF!,$A19,#REF!,B$2)</f>
        <v>#REF!</v>
      </c>
      <c r="C19" s="10" t="e">
        <f>-SUMIFS(#REF!,#REF!,$A19,#REF!,C$2)</f>
        <v>#REF!</v>
      </c>
      <c r="D19" s="10" t="e">
        <f>-SUMIFS(#REF!,#REF!,$A19,#REF!,D$2)</f>
        <v>#REF!</v>
      </c>
      <c r="E19" s="10" t="e">
        <f>-SUMIFS(#REF!,#REF!,$A19,#REF!,E$2)</f>
        <v>#REF!</v>
      </c>
      <c r="F19" s="10" t="e">
        <f>-SUMIFS(#REF!,#REF!,$A19,#REF!,F$2)</f>
        <v>#REF!</v>
      </c>
      <c r="G19" s="10" t="e">
        <f>-SUMIFS(#REF!,#REF!,$A19,#REF!,G$2)</f>
        <v>#REF!</v>
      </c>
      <c r="H19" s="10" t="e">
        <f>-SUMIFS(#REF!,#REF!,$A19,#REF!,H$2)</f>
        <v>#REF!</v>
      </c>
      <c r="I19" s="10" t="e">
        <f>-SUMIFS(#REF!,#REF!,$A19,#REF!,I$2)</f>
        <v>#REF!</v>
      </c>
      <c r="J19" s="10" t="e">
        <f>-SUMIFS(#REF!,#REF!,$A19,#REF!,J$2)</f>
        <v>#REF!</v>
      </c>
      <c r="K19" s="10" t="e">
        <f>-SUMIFS(#REF!,#REF!,$A19,#REF!,K$2)</f>
        <v>#REF!</v>
      </c>
      <c r="L19" s="10" t="e">
        <f>-SUMIFS(#REF!,#REF!,$A19,#REF!,L$2)</f>
        <v>#REF!</v>
      </c>
      <c r="M19" s="10" t="e">
        <f>-SUMIFS(#REF!,#REF!,$A19,#REF!,M$2)</f>
        <v>#REF!</v>
      </c>
      <c r="O19" s="10" t="e">
        <f t="shared" ref="O19:O34" si="5">SUM(B19:N19)</f>
        <v>#REF!</v>
      </c>
      <c r="P19" s="15" t="s">
        <v>296</v>
      </c>
    </row>
    <row r="20" spans="1:16" x14ac:dyDescent="0.25">
      <c r="A20" s="13" t="s">
        <v>107</v>
      </c>
      <c r="B20" s="10" t="e">
        <f>-SUMIFS(#REF!,#REF!,$A20,#REF!,B$2)</f>
        <v>#REF!</v>
      </c>
      <c r="C20" s="10" t="e">
        <f>-SUMIFS(#REF!,#REF!,$A20,#REF!,C$2)</f>
        <v>#REF!</v>
      </c>
      <c r="D20" s="10" t="e">
        <f>-SUMIFS(#REF!,#REF!,$A20,#REF!,D$2)</f>
        <v>#REF!</v>
      </c>
      <c r="E20" s="10" t="e">
        <f>-SUMIFS(#REF!,#REF!,$A20,#REF!,E$2)</f>
        <v>#REF!</v>
      </c>
      <c r="F20" s="10" t="e">
        <f>-SUMIFS(#REF!,#REF!,$A20,#REF!,F$2)</f>
        <v>#REF!</v>
      </c>
      <c r="G20" s="10" t="e">
        <f>-SUMIFS(#REF!,#REF!,$A20,#REF!,G$2)</f>
        <v>#REF!</v>
      </c>
      <c r="H20" s="10" t="e">
        <f>-SUMIFS(#REF!,#REF!,$A20,#REF!,H$2)</f>
        <v>#REF!</v>
      </c>
      <c r="I20" s="10" t="e">
        <f>-SUMIFS(#REF!,#REF!,$A20,#REF!,I$2)</f>
        <v>#REF!</v>
      </c>
      <c r="J20" s="10" t="e">
        <f>-SUMIFS(#REF!,#REF!,$A20,#REF!,J$2)</f>
        <v>#REF!</v>
      </c>
      <c r="K20" s="10" t="e">
        <f>-SUMIFS(#REF!,#REF!,$A20,#REF!,K$2)</f>
        <v>#REF!</v>
      </c>
      <c r="L20" s="10" t="e">
        <f>-SUMIFS(#REF!,#REF!,$A20,#REF!,L$2)</f>
        <v>#REF!</v>
      </c>
      <c r="M20" s="10" t="e">
        <f>-SUMIFS(#REF!,#REF!,$A20,#REF!,M$2)</f>
        <v>#REF!</v>
      </c>
      <c r="O20" s="10" t="e">
        <f t="shared" si="5"/>
        <v>#REF!</v>
      </c>
      <c r="P20" s="15" t="s">
        <v>296</v>
      </c>
    </row>
    <row r="21" spans="1:16" x14ac:dyDescent="0.25">
      <c r="A21" s="13" t="s">
        <v>108</v>
      </c>
      <c r="B21" s="10" t="e">
        <f>-SUMIFS(#REF!,#REF!,$A21,#REF!,B$2)</f>
        <v>#REF!</v>
      </c>
      <c r="C21" s="10" t="e">
        <f>-SUMIFS(#REF!,#REF!,$A21,#REF!,C$2)</f>
        <v>#REF!</v>
      </c>
      <c r="D21" s="10" t="e">
        <f>-SUMIFS(#REF!,#REF!,$A21,#REF!,D$2)</f>
        <v>#REF!</v>
      </c>
      <c r="E21" s="10" t="e">
        <f>-SUMIFS(#REF!,#REF!,$A21,#REF!,E$2)</f>
        <v>#REF!</v>
      </c>
      <c r="F21" s="10" t="e">
        <f>-SUMIFS(#REF!,#REF!,$A21,#REF!,F$2)</f>
        <v>#REF!</v>
      </c>
      <c r="G21" s="10" t="e">
        <f>-SUMIFS(#REF!,#REF!,$A21,#REF!,G$2)</f>
        <v>#REF!</v>
      </c>
      <c r="H21" s="10" t="e">
        <f>-SUMIFS(#REF!,#REF!,$A21,#REF!,H$2)</f>
        <v>#REF!</v>
      </c>
      <c r="I21" s="10" t="e">
        <f>-SUMIFS(#REF!,#REF!,$A21,#REF!,I$2)</f>
        <v>#REF!</v>
      </c>
      <c r="J21" s="10" t="e">
        <f>-SUMIFS(#REF!,#REF!,$A21,#REF!,J$2)</f>
        <v>#REF!</v>
      </c>
      <c r="K21" s="10" t="e">
        <f>-SUMIFS(#REF!,#REF!,$A21,#REF!,K$2)</f>
        <v>#REF!</v>
      </c>
      <c r="L21" s="10" t="e">
        <f>-SUMIFS(#REF!,#REF!,$A21,#REF!,L$2)</f>
        <v>#REF!</v>
      </c>
      <c r="M21" s="10" t="e">
        <f>-SUMIFS(#REF!,#REF!,$A21,#REF!,M$2)</f>
        <v>#REF!</v>
      </c>
      <c r="O21" s="10" t="e">
        <f t="shared" si="5"/>
        <v>#REF!</v>
      </c>
      <c r="P21" s="15" t="s">
        <v>296</v>
      </c>
    </row>
    <row r="22" spans="1:16" x14ac:dyDescent="0.25">
      <c r="A22" s="13" t="s">
        <v>109</v>
      </c>
      <c r="B22" s="10" t="e">
        <f>-SUMIFS(#REF!,#REF!,$A22,#REF!,B$2)</f>
        <v>#REF!</v>
      </c>
      <c r="C22" s="10" t="e">
        <f>-SUMIFS(#REF!,#REF!,$A22,#REF!,C$2)</f>
        <v>#REF!</v>
      </c>
      <c r="D22" s="10" t="e">
        <f>-SUMIFS(#REF!,#REF!,$A22,#REF!,D$2)</f>
        <v>#REF!</v>
      </c>
      <c r="E22" s="10" t="e">
        <f>-SUMIFS(#REF!,#REF!,$A22,#REF!,E$2)</f>
        <v>#REF!</v>
      </c>
      <c r="F22" s="10" t="e">
        <f>-SUMIFS(#REF!,#REF!,$A22,#REF!,F$2)</f>
        <v>#REF!</v>
      </c>
      <c r="G22" s="10" t="e">
        <f>-SUMIFS(#REF!,#REF!,$A22,#REF!,G$2)</f>
        <v>#REF!</v>
      </c>
      <c r="H22" s="10" t="e">
        <f>-SUMIFS(#REF!,#REF!,$A22,#REF!,H$2)</f>
        <v>#REF!</v>
      </c>
      <c r="I22" s="10" t="e">
        <f>-SUMIFS(#REF!,#REF!,$A22,#REF!,I$2)</f>
        <v>#REF!</v>
      </c>
      <c r="J22" s="10" t="e">
        <f>-SUMIFS(#REF!,#REF!,$A22,#REF!,J$2)</f>
        <v>#REF!</v>
      </c>
      <c r="K22" s="10" t="e">
        <f>-SUMIFS(#REF!,#REF!,$A22,#REF!,K$2)</f>
        <v>#REF!</v>
      </c>
      <c r="L22" s="10" t="e">
        <f>-SUMIFS(#REF!,#REF!,$A22,#REF!,L$2)</f>
        <v>#REF!</v>
      </c>
      <c r="M22" s="10" t="e">
        <f>-SUMIFS(#REF!,#REF!,$A22,#REF!,M$2)</f>
        <v>#REF!</v>
      </c>
      <c r="O22" s="10" t="e">
        <f t="shared" si="5"/>
        <v>#REF!</v>
      </c>
      <c r="P22" s="15" t="s">
        <v>296</v>
      </c>
    </row>
    <row r="23" spans="1:16" x14ac:dyDescent="0.25">
      <c r="A23" s="13" t="s">
        <v>214</v>
      </c>
      <c r="B23" s="10" t="e">
        <f>-SUMIFS(#REF!,#REF!,$A23,#REF!,B$2)</f>
        <v>#REF!</v>
      </c>
      <c r="C23" s="10" t="e">
        <f>-SUMIFS(#REF!,#REF!,$A23,#REF!,C$2)</f>
        <v>#REF!</v>
      </c>
      <c r="D23" s="10" t="e">
        <f>-SUMIFS(#REF!,#REF!,$A23,#REF!,D$2)</f>
        <v>#REF!</v>
      </c>
      <c r="E23" s="10" t="e">
        <f>-SUMIFS(#REF!,#REF!,$A23,#REF!,E$2)</f>
        <v>#REF!</v>
      </c>
      <c r="F23" s="10" t="e">
        <f>-SUMIFS(#REF!,#REF!,$A23,#REF!,F$2)</f>
        <v>#REF!</v>
      </c>
      <c r="G23" s="10" t="e">
        <f>-SUMIFS(#REF!,#REF!,$A23,#REF!,G$2)</f>
        <v>#REF!</v>
      </c>
      <c r="H23" s="10" t="e">
        <f>-SUMIFS(#REF!,#REF!,$A23,#REF!,H$2)</f>
        <v>#REF!</v>
      </c>
      <c r="I23" s="10" t="e">
        <f>-SUMIFS(#REF!,#REF!,$A23,#REF!,I$2)</f>
        <v>#REF!</v>
      </c>
      <c r="J23" s="10" t="e">
        <f>-SUMIFS(#REF!,#REF!,$A23,#REF!,J$2)</f>
        <v>#REF!</v>
      </c>
      <c r="K23" s="10" t="e">
        <f>-SUMIFS(#REF!,#REF!,$A23,#REF!,K$2)</f>
        <v>#REF!</v>
      </c>
      <c r="L23" s="10" t="e">
        <f>-SUMIFS(#REF!,#REF!,$A23,#REF!,L$2)</f>
        <v>#REF!</v>
      </c>
      <c r="M23" s="10" t="e">
        <f>-SUMIFS(#REF!,#REF!,$A23,#REF!,M$2)</f>
        <v>#REF!</v>
      </c>
      <c r="O23" s="10" t="e">
        <f t="shared" si="5"/>
        <v>#REF!</v>
      </c>
      <c r="P23" s="15" t="s">
        <v>296</v>
      </c>
    </row>
    <row r="24" spans="1:16" x14ac:dyDescent="0.25">
      <c r="A24" s="13" t="s">
        <v>110</v>
      </c>
      <c r="B24" s="10" t="e">
        <f>-SUMIFS(#REF!,#REF!,$A24,#REF!,B$2)</f>
        <v>#REF!</v>
      </c>
      <c r="C24" s="10" t="e">
        <f>-SUMIFS(#REF!,#REF!,$A24,#REF!,C$2)</f>
        <v>#REF!</v>
      </c>
      <c r="D24" s="10" t="e">
        <f>-SUMIFS(#REF!,#REF!,$A24,#REF!,D$2)</f>
        <v>#REF!</v>
      </c>
      <c r="E24" s="10" t="e">
        <f>-SUMIFS(#REF!,#REF!,$A24,#REF!,E$2)</f>
        <v>#REF!</v>
      </c>
      <c r="F24" s="10" t="e">
        <f>-SUMIFS(#REF!,#REF!,$A24,#REF!,F$2)</f>
        <v>#REF!</v>
      </c>
      <c r="G24" s="10" t="e">
        <f>-SUMIFS(#REF!,#REF!,$A24,#REF!,G$2)</f>
        <v>#REF!</v>
      </c>
      <c r="H24" s="10" t="e">
        <f>-SUMIFS(#REF!,#REF!,$A24,#REF!,H$2)</f>
        <v>#REF!</v>
      </c>
      <c r="I24" s="10" t="e">
        <f>-SUMIFS(#REF!,#REF!,$A24,#REF!,I$2)</f>
        <v>#REF!</v>
      </c>
      <c r="J24" s="10" t="e">
        <f>-SUMIFS(#REF!,#REF!,$A24,#REF!,J$2)</f>
        <v>#REF!</v>
      </c>
      <c r="K24" s="10" t="e">
        <f>-SUMIFS(#REF!,#REF!,$A24,#REF!,K$2)</f>
        <v>#REF!</v>
      </c>
      <c r="L24" s="10" t="e">
        <f>-SUMIFS(#REF!,#REF!,$A24,#REF!,L$2)</f>
        <v>#REF!</v>
      </c>
      <c r="M24" s="10" t="e">
        <f>-SUMIFS(#REF!,#REF!,$A24,#REF!,M$2)</f>
        <v>#REF!</v>
      </c>
      <c r="O24" s="10" t="e">
        <f t="shared" si="5"/>
        <v>#REF!</v>
      </c>
      <c r="P24" s="15" t="s">
        <v>296</v>
      </c>
    </row>
    <row r="25" spans="1:16" x14ac:dyDescent="0.25">
      <c r="A25" s="13" t="s">
        <v>111</v>
      </c>
      <c r="B25" s="10" t="e">
        <f>-SUMIFS(#REF!,#REF!,$A25,#REF!,B$2)</f>
        <v>#REF!</v>
      </c>
      <c r="C25" s="10" t="e">
        <f>-SUMIFS(#REF!,#REF!,$A25,#REF!,C$2)</f>
        <v>#REF!</v>
      </c>
      <c r="D25" s="10" t="e">
        <f>-SUMIFS(#REF!,#REF!,$A25,#REF!,D$2)</f>
        <v>#REF!</v>
      </c>
      <c r="E25" s="10" t="e">
        <f>-SUMIFS(#REF!,#REF!,$A25,#REF!,E$2)</f>
        <v>#REF!</v>
      </c>
      <c r="F25" s="10" t="e">
        <f>-SUMIFS(#REF!,#REF!,$A25,#REF!,F$2)</f>
        <v>#REF!</v>
      </c>
      <c r="G25" s="10" t="e">
        <f>-SUMIFS(#REF!,#REF!,$A25,#REF!,G$2)</f>
        <v>#REF!</v>
      </c>
      <c r="H25" s="10" t="e">
        <f>-SUMIFS(#REF!,#REF!,$A25,#REF!,H$2)</f>
        <v>#REF!</v>
      </c>
      <c r="I25" s="10" t="e">
        <f>-SUMIFS(#REF!,#REF!,$A25,#REF!,I$2)</f>
        <v>#REF!</v>
      </c>
      <c r="J25" s="10" t="e">
        <f>-SUMIFS(#REF!,#REF!,$A25,#REF!,J$2)</f>
        <v>#REF!</v>
      </c>
      <c r="K25" s="10" t="e">
        <f>-SUMIFS(#REF!,#REF!,$A25,#REF!,K$2)</f>
        <v>#REF!</v>
      </c>
      <c r="L25" s="10" t="e">
        <f>-SUMIFS(#REF!,#REF!,$A25,#REF!,L$2)</f>
        <v>#REF!</v>
      </c>
      <c r="M25" s="10" t="e">
        <f>-SUMIFS(#REF!,#REF!,$A25,#REF!,M$2)</f>
        <v>#REF!</v>
      </c>
      <c r="O25" s="10" t="e">
        <f t="shared" si="5"/>
        <v>#REF!</v>
      </c>
      <c r="P25" s="15" t="s">
        <v>296</v>
      </c>
    </row>
    <row r="26" spans="1:16" x14ac:dyDescent="0.25">
      <c r="A26" s="13" t="s">
        <v>112</v>
      </c>
      <c r="B26" s="10" t="e">
        <f>-SUMIFS(#REF!,#REF!,$A26,#REF!,B$2)</f>
        <v>#REF!</v>
      </c>
      <c r="C26" s="10" t="e">
        <f>-SUMIFS(#REF!,#REF!,$A26,#REF!,C$2)</f>
        <v>#REF!</v>
      </c>
      <c r="D26" s="10" t="e">
        <f>-SUMIFS(#REF!,#REF!,$A26,#REF!,D$2)</f>
        <v>#REF!</v>
      </c>
      <c r="E26" s="10" t="e">
        <f>-SUMIFS(#REF!,#REF!,$A26,#REF!,E$2)</f>
        <v>#REF!</v>
      </c>
      <c r="F26" s="10" t="e">
        <f>-SUMIFS(#REF!,#REF!,$A26,#REF!,F$2)</f>
        <v>#REF!</v>
      </c>
      <c r="G26" s="10" t="e">
        <f>-SUMIFS(#REF!,#REF!,$A26,#REF!,G$2)</f>
        <v>#REF!</v>
      </c>
      <c r="H26" s="10" t="e">
        <f>-SUMIFS(#REF!,#REF!,$A26,#REF!,H$2)</f>
        <v>#REF!</v>
      </c>
      <c r="I26" s="10" t="e">
        <f>-SUMIFS(#REF!,#REF!,$A26,#REF!,I$2)</f>
        <v>#REF!</v>
      </c>
      <c r="J26" s="10" t="e">
        <f>-SUMIFS(#REF!,#REF!,$A26,#REF!,J$2)</f>
        <v>#REF!</v>
      </c>
      <c r="K26" s="10" t="e">
        <f>-SUMIFS(#REF!,#REF!,$A26,#REF!,K$2)</f>
        <v>#REF!</v>
      </c>
      <c r="L26" s="10" t="e">
        <f>-SUMIFS(#REF!,#REF!,$A26,#REF!,L$2)</f>
        <v>#REF!</v>
      </c>
      <c r="M26" s="10" t="e">
        <f>-SUMIFS(#REF!,#REF!,$A26,#REF!,M$2)</f>
        <v>#REF!</v>
      </c>
      <c r="O26" s="10" t="e">
        <f t="shared" si="5"/>
        <v>#REF!</v>
      </c>
      <c r="P26" s="15" t="s">
        <v>296</v>
      </c>
    </row>
    <row r="27" spans="1:16" x14ac:dyDescent="0.25">
      <c r="A27" s="13" t="s">
        <v>113</v>
      </c>
      <c r="B27" s="10" t="e">
        <f>-SUMIFS(#REF!,#REF!,$A27,#REF!,B$2)</f>
        <v>#REF!</v>
      </c>
      <c r="C27" s="10" t="e">
        <f>-SUMIFS(#REF!,#REF!,$A27,#REF!,C$2)</f>
        <v>#REF!</v>
      </c>
      <c r="D27" s="10" t="e">
        <f>-SUMIFS(#REF!,#REF!,$A27,#REF!,D$2)</f>
        <v>#REF!</v>
      </c>
      <c r="E27" s="10" t="e">
        <f>-SUMIFS(#REF!,#REF!,$A27,#REF!,E$2)</f>
        <v>#REF!</v>
      </c>
      <c r="F27" s="10" t="e">
        <f>-SUMIFS(#REF!,#REF!,$A27,#REF!,F$2)</f>
        <v>#REF!</v>
      </c>
      <c r="G27" s="10" t="e">
        <f>-SUMIFS(#REF!,#REF!,$A27,#REF!,G$2)</f>
        <v>#REF!</v>
      </c>
      <c r="H27" s="10" t="e">
        <f>-SUMIFS(#REF!,#REF!,$A27,#REF!,H$2)</f>
        <v>#REF!</v>
      </c>
      <c r="I27" s="10" t="e">
        <f>-SUMIFS(#REF!,#REF!,$A27,#REF!,I$2)</f>
        <v>#REF!</v>
      </c>
      <c r="J27" s="10" t="e">
        <f>-SUMIFS(#REF!,#REF!,$A27,#REF!,J$2)</f>
        <v>#REF!</v>
      </c>
      <c r="K27" s="10" t="e">
        <f>-SUMIFS(#REF!,#REF!,$A27,#REF!,K$2)</f>
        <v>#REF!</v>
      </c>
      <c r="L27" s="10" t="e">
        <f>-SUMIFS(#REF!,#REF!,$A27,#REF!,L$2)</f>
        <v>#REF!</v>
      </c>
      <c r="M27" s="10" t="e">
        <f>-SUMIFS(#REF!,#REF!,$A27,#REF!,M$2)</f>
        <v>#REF!</v>
      </c>
      <c r="O27" s="10" t="e">
        <f t="shared" si="5"/>
        <v>#REF!</v>
      </c>
      <c r="P27" s="15" t="s">
        <v>296</v>
      </c>
    </row>
    <row r="28" spans="1:16" x14ac:dyDescent="0.25">
      <c r="A28" s="13" t="s">
        <v>114</v>
      </c>
      <c r="B28" s="10" t="e">
        <f>-SUMIFS(#REF!,#REF!,$A28,#REF!,B$2)</f>
        <v>#REF!</v>
      </c>
      <c r="C28" s="10" t="e">
        <f>-SUMIFS(#REF!,#REF!,$A28,#REF!,C$2)</f>
        <v>#REF!</v>
      </c>
      <c r="D28" s="10" t="e">
        <f>-SUMIFS(#REF!,#REF!,$A28,#REF!,D$2)</f>
        <v>#REF!</v>
      </c>
      <c r="E28" s="10" t="e">
        <f>-SUMIFS(#REF!,#REF!,$A28,#REF!,E$2)</f>
        <v>#REF!</v>
      </c>
      <c r="F28" s="10" t="e">
        <f>-SUMIFS(#REF!,#REF!,$A28,#REF!,F$2)</f>
        <v>#REF!</v>
      </c>
      <c r="G28" s="10" t="e">
        <f>-SUMIFS(#REF!,#REF!,$A28,#REF!,G$2)</f>
        <v>#REF!</v>
      </c>
      <c r="H28" s="10" t="e">
        <f>-SUMIFS(#REF!,#REF!,$A28,#REF!,H$2)</f>
        <v>#REF!</v>
      </c>
      <c r="I28" s="10" t="e">
        <f>-SUMIFS(#REF!,#REF!,$A28,#REF!,I$2)</f>
        <v>#REF!</v>
      </c>
      <c r="J28" s="10" t="e">
        <f>-SUMIFS(#REF!,#REF!,$A28,#REF!,J$2)</f>
        <v>#REF!</v>
      </c>
      <c r="K28" s="10" t="e">
        <f>-SUMIFS(#REF!,#REF!,$A28,#REF!,K$2)</f>
        <v>#REF!</v>
      </c>
      <c r="L28" s="10" t="e">
        <f>-SUMIFS(#REF!,#REF!,$A28,#REF!,L$2)</f>
        <v>#REF!</v>
      </c>
      <c r="M28" s="10" t="e">
        <f>-SUMIFS(#REF!,#REF!,$A28,#REF!,M$2)</f>
        <v>#REF!</v>
      </c>
      <c r="O28" s="10" t="e">
        <f t="shared" si="5"/>
        <v>#REF!</v>
      </c>
      <c r="P28" s="15" t="s">
        <v>296</v>
      </c>
    </row>
    <row r="29" spans="1:16" x14ac:dyDescent="0.25">
      <c r="A29" s="13" t="s">
        <v>116</v>
      </c>
      <c r="B29" s="10" t="e">
        <f>-SUMIFS(#REF!,#REF!,$A29,#REF!,B$2)</f>
        <v>#REF!</v>
      </c>
      <c r="C29" s="10" t="e">
        <f>-SUMIFS(#REF!,#REF!,$A29,#REF!,C$2)</f>
        <v>#REF!</v>
      </c>
      <c r="D29" s="10" t="e">
        <f>-SUMIFS(#REF!,#REF!,$A29,#REF!,D$2)</f>
        <v>#REF!</v>
      </c>
      <c r="E29" s="10" t="e">
        <f>-SUMIFS(#REF!,#REF!,$A29,#REF!,E$2)</f>
        <v>#REF!</v>
      </c>
      <c r="F29" s="10" t="e">
        <f>-SUMIFS(#REF!,#REF!,$A29,#REF!,F$2)</f>
        <v>#REF!</v>
      </c>
      <c r="G29" s="10" t="e">
        <f>-SUMIFS(#REF!,#REF!,$A29,#REF!,G$2)</f>
        <v>#REF!</v>
      </c>
      <c r="H29" s="10" t="e">
        <f>-SUMIFS(#REF!,#REF!,$A29,#REF!,H$2)</f>
        <v>#REF!</v>
      </c>
      <c r="I29" s="10" t="e">
        <f>-SUMIFS(#REF!,#REF!,$A29,#REF!,I$2)</f>
        <v>#REF!</v>
      </c>
      <c r="J29" s="10" t="e">
        <f>-SUMIFS(#REF!,#REF!,$A29,#REF!,J$2)</f>
        <v>#REF!</v>
      </c>
      <c r="K29" s="10" t="e">
        <f>-SUMIFS(#REF!,#REF!,$A29,#REF!,K$2)</f>
        <v>#REF!</v>
      </c>
      <c r="L29" s="10" t="e">
        <f>-SUMIFS(#REF!,#REF!,$A29,#REF!,L$2)</f>
        <v>#REF!</v>
      </c>
      <c r="M29" s="10" t="e">
        <f>-SUMIFS(#REF!,#REF!,$A29,#REF!,M$2)</f>
        <v>#REF!</v>
      </c>
      <c r="O29" s="10" t="e">
        <f t="shared" si="5"/>
        <v>#REF!</v>
      </c>
      <c r="P29" s="15" t="s">
        <v>296</v>
      </c>
    </row>
    <row r="30" spans="1:16" x14ac:dyDescent="0.25">
      <c r="A30" s="13" t="s">
        <v>117</v>
      </c>
      <c r="B30" s="10" t="e">
        <f>-SUMIFS(#REF!,#REF!,$A30,#REF!,B$2)</f>
        <v>#REF!</v>
      </c>
      <c r="C30" s="10" t="e">
        <f>-SUMIFS(#REF!,#REF!,$A30,#REF!,C$2)</f>
        <v>#REF!</v>
      </c>
      <c r="D30" s="10" t="e">
        <f>-SUMIFS(#REF!,#REF!,$A30,#REF!,D$2)</f>
        <v>#REF!</v>
      </c>
      <c r="E30" s="10" t="e">
        <f>-SUMIFS(#REF!,#REF!,$A30,#REF!,E$2)</f>
        <v>#REF!</v>
      </c>
      <c r="F30" s="10" t="e">
        <f>-SUMIFS(#REF!,#REF!,$A30,#REF!,F$2)</f>
        <v>#REF!</v>
      </c>
      <c r="G30" s="10" t="e">
        <f>-SUMIFS(#REF!,#REF!,$A30,#REF!,G$2)</f>
        <v>#REF!</v>
      </c>
      <c r="H30" s="10" t="e">
        <f>-SUMIFS(#REF!,#REF!,$A30,#REF!,H$2)</f>
        <v>#REF!</v>
      </c>
      <c r="I30" s="10" t="e">
        <f>-SUMIFS(#REF!,#REF!,$A30,#REF!,I$2)</f>
        <v>#REF!</v>
      </c>
      <c r="J30" s="10" t="e">
        <f>-SUMIFS(#REF!,#REF!,$A30,#REF!,J$2)</f>
        <v>#REF!</v>
      </c>
      <c r="K30" s="10" t="e">
        <f>-SUMIFS(#REF!,#REF!,$A30,#REF!,K$2)</f>
        <v>#REF!</v>
      </c>
      <c r="L30" s="10" t="e">
        <f>-SUMIFS(#REF!,#REF!,$A30,#REF!,L$2)</f>
        <v>#REF!</v>
      </c>
      <c r="M30" s="10" t="e">
        <f>-SUMIFS(#REF!,#REF!,$A30,#REF!,M$2)</f>
        <v>#REF!</v>
      </c>
      <c r="O30" s="10" t="e">
        <f t="shared" si="5"/>
        <v>#REF!</v>
      </c>
      <c r="P30" s="15" t="s">
        <v>296</v>
      </c>
    </row>
    <row r="31" spans="1:16" x14ac:dyDescent="0.25">
      <c r="A31" s="13" t="s">
        <v>118</v>
      </c>
      <c r="B31" s="10" t="e">
        <f>-SUMIFS(#REF!,#REF!,$A31,#REF!,B$2)</f>
        <v>#REF!</v>
      </c>
      <c r="C31" s="10" t="e">
        <f>-SUMIFS(#REF!,#REF!,$A31,#REF!,C$2)</f>
        <v>#REF!</v>
      </c>
      <c r="D31" s="10" t="e">
        <f>-SUMIFS(#REF!,#REF!,$A31,#REF!,D$2)</f>
        <v>#REF!</v>
      </c>
      <c r="E31" s="10" t="e">
        <f>-SUMIFS(#REF!,#REF!,$A31,#REF!,E$2)</f>
        <v>#REF!</v>
      </c>
      <c r="F31" s="10" t="e">
        <f>-SUMIFS(#REF!,#REF!,$A31,#REF!,F$2)</f>
        <v>#REF!</v>
      </c>
      <c r="G31" s="10" t="e">
        <f>-SUMIFS(#REF!,#REF!,$A31,#REF!,G$2)</f>
        <v>#REF!</v>
      </c>
      <c r="H31" s="10" t="e">
        <f>-SUMIFS(#REF!,#REF!,$A31,#REF!,H$2)</f>
        <v>#REF!</v>
      </c>
      <c r="I31" s="10" t="e">
        <f>-SUMIFS(#REF!,#REF!,$A31,#REF!,I$2)</f>
        <v>#REF!</v>
      </c>
      <c r="J31" s="10" t="e">
        <f>-SUMIFS(#REF!,#REF!,$A31,#REF!,J$2)</f>
        <v>#REF!</v>
      </c>
      <c r="K31" s="10" t="e">
        <f>-SUMIFS(#REF!,#REF!,$A31,#REF!,K$2)</f>
        <v>#REF!</v>
      </c>
      <c r="L31" s="10" t="e">
        <f>-SUMIFS(#REF!,#REF!,$A31,#REF!,L$2)</f>
        <v>#REF!</v>
      </c>
      <c r="M31" s="10" t="e">
        <f>-SUMIFS(#REF!,#REF!,$A31,#REF!,M$2)</f>
        <v>#REF!</v>
      </c>
      <c r="O31" s="10" t="e">
        <f t="shared" si="5"/>
        <v>#REF!</v>
      </c>
      <c r="P31" s="15" t="s">
        <v>296</v>
      </c>
    </row>
    <row r="32" spans="1:16" x14ac:dyDescent="0.25">
      <c r="A32" s="13" t="s">
        <v>195</v>
      </c>
      <c r="B32" s="10" t="e">
        <f>-SUMIFS(#REF!,#REF!,$A32,#REF!,B$2)</f>
        <v>#REF!</v>
      </c>
      <c r="C32" s="10" t="e">
        <f>-SUMIFS(#REF!,#REF!,$A32,#REF!,C$2)</f>
        <v>#REF!</v>
      </c>
      <c r="D32" s="10" t="e">
        <f>-SUMIFS(#REF!,#REF!,$A32,#REF!,D$2)</f>
        <v>#REF!</v>
      </c>
      <c r="E32" s="10" t="e">
        <f>-SUMIFS(#REF!,#REF!,$A32,#REF!,E$2)</f>
        <v>#REF!</v>
      </c>
      <c r="F32" s="10" t="e">
        <f>-SUMIFS(#REF!,#REF!,$A32,#REF!,F$2)</f>
        <v>#REF!</v>
      </c>
      <c r="G32" s="10" t="e">
        <f>-SUMIFS(#REF!,#REF!,$A32,#REF!,G$2)</f>
        <v>#REF!</v>
      </c>
      <c r="H32" s="10" t="e">
        <f>-SUMIFS(#REF!,#REF!,$A32,#REF!,H$2)</f>
        <v>#REF!</v>
      </c>
      <c r="I32" s="10" t="e">
        <f>-SUMIFS(#REF!,#REF!,$A32,#REF!,I$2)</f>
        <v>#REF!</v>
      </c>
      <c r="J32" s="10" t="e">
        <f>-SUMIFS(#REF!,#REF!,$A32,#REF!,J$2)</f>
        <v>#REF!</v>
      </c>
      <c r="K32" s="10" t="e">
        <f>-SUMIFS(#REF!,#REF!,$A32,#REF!,K$2)</f>
        <v>#REF!</v>
      </c>
      <c r="L32" s="10" t="e">
        <f>-SUMIFS(#REF!,#REF!,$A32,#REF!,L$2)</f>
        <v>#REF!</v>
      </c>
      <c r="M32" s="10" t="e">
        <f>-SUMIFS(#REF!,#REF!,$A32,#REF!,M$2)</f>
        <v>#REF!</v>
      </c>
      <c r="O32" s="10" t="e">
        <f t="shared" si="5"/>
        <v>#REF!</v>
      </c>
      <c r="P32" s="15" t="s">
        <v>296</v>
      </c>
    </row>
    <row r="33" spans="1:16" x14ac:dyDescent="0.25">
      <c r="A33" s="13" t="s">
        <v>285</v>
      </c>
      <c r="B33" s="10" t="e">
        <f>-SUMIFS(#REF!,#REF!,$A33,#REF!,B$2)</f>
        <v>#REF!</v>
      </c>
      <c r="C33" s="10" t="e">
        <f>-SUMIFS(#REF!,#REF!,$A33,#REF!,C$2)</f>
        <v>#REF!</v>
      </c>
      <c r="D33" s="10" t="e">
        <f>-SUMIFS(#REF!,#REF!,$A33,#REF!,D$2)</f>
        <v>#REF!</v>
      </c>
      <c r="E33" s="10" t="e">
        <f>-SUMIFS(#REF!,#REF!,$A33,#REF!,E$2)</f>
        <v>#REF!</v>
      </c>
      <c r="F33" s="10" t="e">
        <f>-SUMIFS(#REF!,#REF!,$A33,#REF!,F$2)</f>
        <v>#REF!</v>
      </c>
      <c r="G33" s="10" t="e">
        <f>-SUMIFS(#REF!,#REF!,$A33,#REF!,G$2)</f>
        <v>#REF!</v>
      </c>
      <c r="H33" s="10" t="e">
        <f>-SUMIFS(#REF!,#REF!,$A33,#REF!,H$2)</f>
        <v>#REF!</v>
      </c>
      <c r="I33" s="10" t="e">
        <f>-SUMIFS(#REF!,#REF!,$A33,#REF!,I$2)</f>
        <v>#REF!</v>
      </c>
      <c r="J33" s="10" t="e">
        <f>-SUMIFS(#REF!,#REF!,$A33,#REF!,J$2)</f>
        <v>#REF!</v>
      </c>
      <c r="K33" s="10" t="e">
        <f>-SUMIFS(#REF!,#REF!,$A33,#REF!,K$2)</f>
        <v>#REF!</v>
      </c>
      <c r="L33" s="10" t="e">
        <f>-SUMIFS(#REF!,#REF!,$A33,#REF!,L$2)</f>
        <v>#REF!</v>
      </c>
      <c r="M33" s="10" t="e">
        <f>-SUMIFS(#REF!,#REF!,$A33,#REF!,M$2)</f>
        <v>#REF!</v>
      </c>
      <c r="O33" s="10" t="e">
        <f t="shared" si="5"/>
        <v>#REF!</v>
      </c>
      <c r="P33" s="15" t="s">
        <v>296</v>
      </c>
    </row>
    <row r="34" spans="1:16" x14ac:dyDescent="0.25">
      <c r="A34" s="13" t="s">
        <v>287</v>
      </c>
      <c r="B34" s="10" t="e">
        <f>-SUMIFS(#REF!,#REF!,$A34,#REF!,B$2)</f>
        <v>#REF!</v>
      </c>
      <c r="C34" s="10" t="e">
        <f>-SUMIFS(#REF!,#REF!,$A34,#REF!,C$2)</f>
        <v>#REF!</v>
      </c>
      <c r="D34" s="10" t="e">
        <f>-SUMIFS(#REF!,#REF!,$A34,#REF!,D$2)</f>
        <v>#REF!</v>
      </c>
      <c r="E34" s="10" t="e">
        <f>-SUMIFS(#REF!,#REF!,$A34,#REF!,E$2)</f>
        <v>#REF!</v>
      </c>
      <c r="F34" s="10" t="e">
        <f>-SUMIFS(#REF!,#REF!,$A34,#REF!,F$2)</f>
        <v>#REF!</v>
      </c>
      <c r="G34" s="10" t="e">
        <f>-SUMIFS(#REF!,#REF!,$A34,#REF!,G$2)</f>
        <v>#REF!</v>
      </c>
      <c r="H34" s="10" t="e">
        <f>-SUMIFS(#REF!,#REF!,$A34,#REF!,H$2)</f>
        <v>#REF!</v>
      </c>
      <c r="I34" s="10" t="e">
        <f>-SUMIFS(#REF!,#REF!,$A34,#REF!,I$2)</f>
        <v>#REF!</v>
      </c>
      <c r="J34" s="10" t="e">
        <f>-SUMIFS(#REF!,#REF!,$A34,#REF!,J$2)</f>
        <v>#REF!</v>
      </c>
      <c r="K34" s="10" t="e">
        <f>-SUMIFS(#REF!,#REF!,$A34,#REF!,K$2)</f>
        <v>#REF!</v>
      </c>
      <c r="L34" s="10" t="e">
        <f>-SUMIFS(#REF!,#REF!,$A34,#REF!,L$2)</f>
        <v>#REF!</v>
      </c>
      <c r="M34" s="10" t="e">
        <f>-SUMIFS(#REF!,#REF!,$A34,#REF!,M$2)</f>
        <v>#REF!</v>
      </c>
      <c r="O34" s="10" t="e">
        <f t="shared" si="5"/>
        <v>#REF!</v>
      </c>
      <c r="P34" s="15" t="s">
        <v>296</v>
      </c>
    </row>
    <row r="35" spans="1:16" x14ac:dyDescent="0.25">
      <c r="A35" s="15" t="s">
        <v>265</v>
      </c>
      <c r="B35" s="16" t="e">
        <f t="shared" ref="B35:M35" si="6">SUM(B19:B34)</f>
        <v>#REF!</v>
      </c>
      <c r="C35" s="16" t="e">
        <f t="shared" si="6"/>
        <v>#REF!</v>
      </c>
      <c r="D35" s="16" t="e">
        <f t="shared" si="6"/>
        <v>#REF!</v>
      </c>
      <c r="E35" s="16" t="e">
        <f t="shared" si="6"/>
        <v>#REF!</v>
      </c>
      <c r="F35" s="16" t="e">
        <f t="shared" si="6"/>
        <v>#REF!</v>
      </c>
      <c r="G35" s="16" t="e">
        <f t="shared" si="6"/>
        <v>#REF!</v>
      </c>
      <c r="H35" s="16" t="e">
        <f t="shared" si="6"/>
        <v>#REF!</v>
      </c>
      <c r="I35" s="16" t="e">
        <f t="shared" si="6"/>
        <v>#REF!</v>
      </c>
      <c r="J35" s="16" t="e">
        <f t="shared" si="6"/>
        <v>#REF!</v>
      </c>
      <c r="K35" s="16" t="e">
        <f t="shared" si="6"/>
        <v>#REF!</v>
      </c>
      <c r="L35" s="16" t="e">
        <f t="shared" si="6"/>
        <v>#REF!</v>
      </c>
      <c r="M35" s="16" t="e">
        <f t="shared" si="6"/>
        <v>#REF!</v>
      </c>
      <c r="O35" s="16" t="e">
        <f>SUM(O19:O34)</f>
        <v>#REF!</v>
      </c>
      <c r="P35" s="15" t="s">
        <v>296</v>
      </c>
    </row>
    <row r="36" spans="1:16" x14ac:dyDescent="0.25">
      <c r="P36" s="33" t="s">
        <v>295</v>
      </c>
    </row>
    <row r="37" spans="1:16" x14ac:dyDescent="0.25">
      <c r="A37" s="8" t="s">
        <v>279</v>
      </c>
      <c r="P37" s="33" t="s">
        <v>295</v>
      </c>
    </row>
    <row r="38" spans="1:16" x14ac:dyDescent="0.25">
      <c r="A38" s="13" t="s">
        <v>123</v>
      </c>
      <c r="B38" s="10" t="e">
        <f>-SUMIFS(#REF!,#REF!,$A38,#REF!,B$2)</f>
        <v>#REF!</v>
      </c>
      <c r="C38" s="10" t="e">
        <f>-SUMIFS(#REF!,#REF!,$A38,#REF!,C$2)</f>
        <v>#REF!</v>
      </c>
      <c r="D38" s="10" t="e">
        <f>-SUMIFS(#REF!,#REF!,$A38,#REF!,D$2)</f>
        <v>#REF!</v>
      </c>
      <c r="E38" s="10" t="e">
        <f>-SUMIFS(#REF!,#REF!,$A38,#REF!,E$2)</f>
        <v>#REF!</v>
      </c>
      <c r="F38" s="10" t="e">
        <f>-SUMIFS(#REF!,#REF!,$A38,#REF!,F$2)</f>
        <v>#REF!</v>
      </c>
      <c r="G38" s="10" t="e">
        <f>-SUMIFS(#REF!,#REF!,$A38,#REF!,G$2)</f>
        <v>#REF!</v>
      </c>
      <c r="H38" s="10" t="e">
        <f>-SUMIFS(#REF!,#REF!,$A38,#REF!,H$2)</f>
        <v>#REF!</v>
      </c>
      <c r="I38" s="10" t="e">
        <f>-SUMIFS(#REF!,#REF!,$A38,#REF!,I$2)</f>
        <v>#REF!</v>
      </c>
      <c r="J38" s="10" t="e">
        <f>-SUMIFS(#REF!,#REF!,$A38,#REF!,J$2)</f>
        <v>#REF!</v>
      </c>
      <c r="K38" s="10" t="e">
        <f>-SUMIFS(#REF!,#REF!,$A38,#REF!,K$2)</f>
        <v>#REF!</v>
      </c>
      <c r="L38" s="10" t="e">
        <f>-SUMIFS(#REF!,#REF!,$A38,#REF!,L$2)</f>
        <v>#REF!</v>
      </c>
      <c r="M38" s="10" t="e">
        <f>-SUMIFS(#REF!,#REF!,$A38,#REF!,M$2)</f>
        <v>#REF!</v>
      </c>
      <c r="O38" s="10" t="e">
        <f t="shared" ref="O38:O49" si="7">SUM(B38:N38)</f>
        <v>#REF!</v>
      </c>
      <c r="P38" s="15" t="s">
        <v>297</v>
      </c>
    </row>
    <row r="39" spans="1:16" x14ac:dyDescent="0.25">
      <c r="A39" s="13" t="s">
        <v>125</v>
      </c>
      <c r="B39" s="10" t="e">
        <f>-SUMIFS(#REF!,#REF!,$A39,#REF!,B$2)</f>
        <v>#REF!</v>
      </c>
      <c r="C39" s="10" t="e">
        <f>-SUMIFS(#REF!,#REF!,$A39,#REF!,C$2)</f>
        <v>#REF!</v>
      </c>
      <c r="D39" s="10" t="e">
        <f>-SUMIFS(#REF!,#REF!,$A39,#REF!,D$2)</f>
        <v>#REF!</v>
      </c>
      <c r="E39" s="10" t="e">
        <f>-SUMIFS(#REF!,#REF!,$A39,#REF!,E$2)</f>
        <v>#REF!</v>
      </c>
      <c r="F39" s="10" t="e">
        <f>-SUMIFS(#REF!,#REF!,$A39,#REF!,F$2)</f>
        <v>#REF!</v>
      </c>
      <c r="G39" s="10" t="e">
        <f>-SUMIFS(#REF!,#REF!,$A39,#REF!,G$2)</f>
        <v>#REF!</v>
      </c>
      <c r="H39" s="10" t="e">
        <f>-SUMIFS(#REF!,#REF!,$A39,#REF!,H$2)</f>
        <v>#REF!</v>
      </c>
      <c r="I39" s="10" t="e">
        <f>-SUMIFS(#REF!,#REF!,$A39,#REF!,I$2)</f>
        <v>#REF!</v>
      </c>
      <c r="J39" s="10" t="e">
        <f>-SUMIFS(#REF!,#REF!,$A39,#REF!,J$2)</f>
        <v>#REF!</v>
      </c>
      <c r="K39" s="10" t="e">
        <f>-SUMIFS(#REF!,#REF!,$A39,#REF!,K$2)</f>
        <v>#REF!</v>
      </c>
      <c r="L39" s="10" t="e">
        <f>-SUMIFS(#REF!,#REF!,$A39,#REF!,L$2)</f>
        <v>#REF!</v>
      </c>
      <c r="M39" s="10" t="e">
        <f>-SUMIFS(#REF!,#REF!,$A39,#REF!,M$2)</f>
        <v>#REF!</v>
      </c>
      <c r="O39" s="10" t="e">
        <f t="shared" si="7"/>
        <v>#REF!</v>
      </c>
      <c r="P39" s="15" t="s">
        <v>297</v>
      </c>
    </row>
    <row r="40" spans="1:16" x14ac:dyDescent="0.25">
      <c r="A40" s="13" t="s">
        <v>127</v>
      </c>
      <c r="B40" s="10" t="e">
        <f>-SUMIFS(#REF!,#REF!,$A40,#REF!,B$2)</f>
        <v>#REF!</v>
      </c>
      <c r="C40" s="10" t="e">
        <f>-SUMIFS(#REF!,#REF!,$A40,#REF!,C$2)</f>
        <v>#REF!</v>
      </c>
      <c r="D40" s="10" t="e">
        <f>-SUMIFS(#REF!,#REF!,$A40,#REF!,D$2)</f>
        <v>#REF!</v>
      </c>
      <c r="E40" s="10" t="e">
        <f>-SUMIFS(#REF!,#REF!,$A40,#REF!,E$2)</f>
        <v>#REF!</v>
      </c>
      <c r="F40" s="10" t="e">
        <f>-SUMIFS(#REF!,#REF!,$A40,#REF!,F$2)</f>
        <v>#REF!</v>
      </c>
      <c r="G40" s="10" t="e">
        <f>-SUMIFS(#REF!,#REF!,$A40,#REF!,G$2)</f>
        <v>#REF!</v>
      </c>
      <c r="H40" s="10" t="e">
        <f>-SUMIFS(#REF!,#REF!,$A40,#REF!,H$2)</f>
        <v>#REF!</v>
      </c>
      <c r="I40" s="10" t="e">
        <f>-SUMIFS(#REF!,#REF!,$A40,#REF!,I$2)</f>
        <v>#REF!</v>
      </c>
      <c r="J40" s="10" t="e">
        <f>-SUMIFS(#REF!,#REF!,$A40,#REF!,J$2)</f>
        <v>#REF!</v>
      </c>
      <c r="K40" s="10" t="e">
        <f>-SUMIFS(#REF!,#REF!,$A40,#REF!,K$2)</f>
        <v>#REF!</v>
      </c>
      <c r="L40" s="10" t="e">
        <f>-SUMIFS(#REF!,#REF!,$A40,#REF!,L$2)</f>
        <v>#REF!</v>
      </c>
      <c r="M40" s="10" t="e">
        <f>-SUMIFS(#REF!,#REF!,$A40,#REF!,M$2)</f>
        <v>#REF!</v>
      </c>
      <c r="O40" s="10" t="e">
        <f t="shared" si="7"/>
        <v>#REF!</v>
      </c>
      <c r="P40" s="15" t="s">
        <v>297</v>
      </c>
    </row>
    <row r="41" spans="1:16" x14ac:dyDescent="0.25">
      <c r="A41" s="13" t="s">
        <v>129</v>
      </c>
      <c r="B41" s="10" t="e">
        <f>-SUMIFS(#REF!,#REF!,$A41,#REF!,B$2)</f>
        <v>#REF!</v>
      </c>
      <c r="C41" s="10" t="e">
        <f>-SUMIFS(#REF!,#REF!,$A41,#REF!,C$2)</f>
        <v>#REF!</v>
      </c>
      <c r="D41" s="10" t="e">
        <f>-SUMIFS(#REF!,#REF!,$A41,#REF!,D$2)</f>
        <v>#REF!</v>
      </c>
      <c r="E41" s="10" t="e">
        <f>-SUMIFS(#REF!,#REF!,$A41,#REF!,E$2)</f>
        <v>#REF!</v>
      </c>
      <c r="F41" s="10" t="e">
        <f>-SUMIFS(#REF!,#REF!,$A41,#REF!,F$2)</f>
        <v>#REF!</v>
      </c>
      <c r="G41" s="10" t="e">
        <f>-SUMIFS(#REF!,#REF!,$A41,#REF!,G$2)</f>
        <v>#REF!</v>
      </c>
      <c r="H41" s="10" t="e">
        <f>-SUMIFS(#REF!,#REF!,$A41,#REF!,H$2)</f>
        <v>#REF!</v>
      </c>
      <c r="I41" s="10" t="e">
        <f>-SUMIFS(#REF!,#REF!,$A41,#REF!,I$2)</f>
        <v>#REF!</v>
      </c>
      <c r="J41" s="10" t="e">
        <f>-SUMIFS(#REF!,#REF!,$A41,#REF!,J$2)</f>
        <v>#REF!</v>
      </c>
      <c r="K41" s="10" t="e">
        <f>-SUMIFS(#REF!,#REF!,$A41,#REF!,K$2)</f>
        <v>#REF!</v>
      </c>
      <c r="L41" s="10" t="e">
        <f>-SUMIFS(#REF!,#REF!,$A41,#REF!,L$2)</f>
        <v>#REF!</v>
      </c>
      <c r="M41" s="10" t="e">
        <f>-SUMIFS(#REF!,#REF!,$A41,#REF!,M$2)</f>
        <v>#REF!</v>
      </c>
      <c r="O41" s="10" t="e">
        <f t="shared" si="7"/>
        <v>#REF!</v>
      </c>
      <c r="P41" s="15" t="s">
        <v>297</v>
      </c>
    </row>
    <row r="42" spans="1:16" x14ac:dyDescent="0.25">
      <c r="A42" s="13" t="s">
        <v>215</v>
      </c>
      <c r="B42" s="10" t="e">
        <f>-SUMIFS(#REF!,#REF!,$A42,#REF!,B$2)</f>
        <v>#REF!</v>
      </c>
      <c r="C42" s="10" t="e">
        <f>-SUMIFS(#REF!,#REF!,$A42,#REF!,C$2)</f>
        <v>#REF!</v>
      </c>
      <c r="D42" s="10" t="e">
        <f>-SUMIFS(#REF!,#REF!,$A42,#REF!,D$2)</f>
        <v>#REF!</v>
      </c>
      <c r="E42" s="10" t="e">
        <f>-SUMIFS(#REF!,#REF!,$A42,#REF!,E$2)</f>
        <v>#REF!</v>
      </c>
      <c r="F42" s="10" t="e">
        <f>-SUMIFS(#REF!,#REF!,$A42,#REF!,F$2)</f>
        <v>#REF!</v>
      </c>
      <c r="G42" s="10" t="e">
        <f>-SUMIFS(#REF!,#REF!,$A42,#REF!,G$2)</f>
        <v>#REF!</v>
      </c>
      <c r="H42" s="10" t="e">
        <f>-SUMIFS(#REF!,#REF!,$A42,#REF!,H$2)</f>
        <v>#REF!</v>
      </c>
      <c r="I42" s="10" t="e">
        <f>-SUMIFS(#REF!,#REF!,$A42,#REF!,I$2)</f>
        <v>#REF!</v>
      </c>
      <c r="J42" s="10" t="e">
        <f>-SUMIFS(#REF!,#REF!,$A42,#REF!,J$2)</f>
        <v>#REF!</v>
      </c>
      <c r="K42" s="10" t="e">
        <f>-SUMIFS(#REF!,#REF!,$A42,#REF!,K$2)</f>
        <v>#REF!</v>
      </c>
      <c r="L42" s="10" t="e">
        <f>-SUMIFS(#REF!,#REF!,$A42,#REF!,L$2)</f>
        <v>#REF!</v>
      </c>
      <c r="M42" s="10" t="e">
        <f>-SUMIFS(#REF!,#REF!,$A42,#REF!,M$2)</f>
        <v>#REF!</v>
      </c>
      <c r="O42" s="10" t="e">
        <f t="shared" si="7"/>
        <v>#REF!</v>
      </c>
      <c r="P42" s="15" t="s">
        <v>297</v>
      </c>
    </row>
    <row r="43" spans="1:16" x14ac:dyDescent="0.25">
      <c r="A43" s="13" t="s">
        <v>211</v>
      </c>
      <c r="B43" s="10" t="e">
        <f>-SUMIFS(#REF!,#REF!,$A43,#REF!,B$2)</f>
        <v>#REF!</v>
      </c>
      <c r="C43" s="10" t="e">
        <f>-SUMIFS(#REF!,#REF!,$A43,#REF!,C$2)</f>
        <v>#REF!</v>
      </c>
      <c r="D43" s="10" t="e">
        <f>-SUMIFS(#REF!,#REF!,$A43,#REF!,D$2)</f>
        <v>#REF!</v>
      </c>
      <c r="E43" s="10" t="e">
        <f>-SUMIFS(#REF!,#REF!,$A43,#REF!,E$2)</f>
        <v>#REF!</v>
      </c>
      <c r="F43" s="10" t="e">
        <f>-SUMIFS(#REF!,#REF!,$A43,#REF!,F$2)</f>
        <v>#REF!</v>
      </c>
      <c r="G43" s="10" t="e">
        <f>-SUMIFS(#REF!,#REF!,$A43,#REF!,G$2)</f>
        <v>#REF!</v>
      </c>
      <c r="H43" s="10" t="e">
        <f>-SUMIFS(#REF!,#REF!,$A43,#REF!,H$2)</f>
        <v>#REF!</v>
      </c>
      <c r="I43" s="10" t="e">
        <f>-SUMIFS(#REF!,#REF!,$A43,#REF!,I$2)</f>
        <v>#REF!</v>
      </c>
      <c r="J43" s="10" t="e">
        <f>-SUMIFS(#REF!,#REF!,$A43,#REF!,J$2)</f>
        <v>#REF!</v>
      </c>
      <c r="K43" s="10" t="e">
        <f>-SUMIFS(#REF!,#REF!,$A43,#REF!,K$2)</f>
        <v>#REF!</v>
      </c>
      <c r="L43" s="10" t="e">
        <f>-SUMIFS(#REF!,#REF!,$A43,#REF!,L$2)</f>
        <v>#REF!</v>
      </c>
      <c r="M43" s="10" t="e">
        <f>-SUMIFS(#REF!,#REF!,$A43,#REF!,M$2)</f>
        <v>#REF!</v>
      </c>
      <c r="O43" s="10" t="e">
        <f t="shared" si="7"/>
        <v>#REF!</v>
      </c>
      <c r="P43" s="15" t="s">
        <v>297</v>
      </c>
    </row>
    <row r="44" spans="1:16" x14ac:dyDescent="0.25">
      <c r="A44" s="13" t="s">
        <v>130</v>
      </c>
      <c r="B44" s="10" t="e">
        <f>-SUMIFS(#REF!,#REF!,$A44,#REF!,B$2)</f>
        <v>#REF!</v>
      </c>
      <c r="C44" s="10" t="e">
        <f>-SUMIFS(#REF!,#REF!,$A44,#REF!,C$2)</f>
        <v>#REF!</v>
      </c>
      <c r="D44" s="10" t="e">
        <f>-SUMIFS(#REF!,#REF!,$A44,#REF!,D$2)</f>
        <v>#REF!</v>
      </c>
      <c r="E44" s="10" t="e">
        <f>-SUMIFS(#REF!,#REF!,$A44,#REF!,E$2)</f>
        <v>#REF!</v>
      </c>
      <c r="F44" s="10" t="e">
        <f>-SUMIFS(#REF!,#REF!,$A44,#REF!,F$2)</f>
        <v>#REF!</v>
      </c>
      <c r="G44" s="10" t="e">
        <f>-SUMIFS(#REF!,#REF!,$A44,#REF!,G$2)</f>
        <v>#REF!</v>
      </c>
      <c r="H44" s="10" t="e">
        <f>-SUMIFS(#REF!,#REF!,$A44,#REF!,H$2)</f>
        <v>#REF!</v>
      </c>
      <c r="I44" s="10" t="e">
        <f>-SUMIFS(#REF!,#REF!,$A44,#REF!,I$2)</f>
        <v>#REF!</v>
      </c>
      <c r="J44" s="10" t="e">
        <f>-SUMIFS(#REF!,#REF!,$A44,#REF!,J$2)</f>
        <v>#REF!</v>
      </c>
      <c r="K44" s="10" t="e">
        <f>-SUMIFS(#REF!,#REF!,$A44,#REF!,K$2)</f>
        <v>#REF!</v>
      </c>
      <c r="L44" s="10" t="e">
        <f>-SUMIFS(#REF!,#REF!,$A44,#REF!,L$2)</f>
        <v>#REF!</v>
      </c>
      <c r="M44" s="10" t="e">
        <f>-SUMIFS(#REF!,#REF!,$A44,#REF!,M$2)</f>
        <v>#REF!</v>
      </c>
      <c r="O44" s="10" t="e">
        <f t="shared" si="7"/>
        <v>#REF!</v>
      </c>
      <c r="P44" s="15" t="s">
        <v>297</v>
      </c>
    </row>
    <row r="45" spans="1:16" x14ac:dyDescent="0.25">
      <c r="A45" s="13" t="s">
        <v>212</v>
      </c>
      <c r="B45" s="10" t="e">
        <f>-SUMIFS(#REF!,#REF!,$A45,#REF!,B$2)</f>
        <v>#REF!</v>
      </c>
      <c r="C45" s="10" t="e">
        <f>-SUMIFS(#REF!,#REF!,$A45,#REF!,C$2)</f>
        <v>#REF!</v>
      </c>
      <c r="D45" s="10" t="e">
        <f>-SUMIFS(#REF!,#REF!,$A45,#REF!,D$2)</f>
        <v>#REF!</v>
      </c>
      <c r="E45" s="10" t="e">
        <f>-SUMIFS(#REF!,#REF!,$A45,#REF!,E$2)</f>
        <v>#REF!</v>
      </c>
      <c r="F45" s="10" t="e">
        <f>-SUMIFS(#REF!,#REF!,$A45,#REF!,F$2)</f>
        <v>#REF!</v>
      </c>
      <c r="G45" s="10" t="e">
        <f>-SUMIFS(#REF!,#REF!,$A45,#REF!,G$2)</f>
        <v>#REF!</v>
      </c>
      <c r="H45" s="10" t="e">
        <f>-SUMIFS(#REF!,#REF!,$A45,#REF!,H$2)</f>
        <v>#REF!</v>
      </c>
      <c r="I45" s="10" t="e">
        <f>-SUMIFS(#REF!,#REF!,$A45,#REF!,I$2)</f>
        <v>#REF!</v>
      </c>
      <c r="J45" s="10" t="e">
        <f>-SUMIFS(#REF!,#REF!,$A45,#REF!,J$2)</f>
        <v>#REF!</v>
      </c>
      <c r="K45" s="10" t="e">
        <f>-SUMIFS(#REF!,#REF!,$A45,#REF!,K$2)</f>
        <v>#REF!</v>
      </c>
      <c r="L45" s="10" t="e">
        <f>-SUMIFS(#REF!,#REF!,$A45,#REF!,L$2)</f>
        <v>#REF!</v>
      </c>
      <c r="M45" s="10" t="e">
        <f>-SUMIFS(#REF!,#REF!,$A45,#REF!,M$2)</f>
        <v>#REF!</v>
      </c>
      <c r="O45" s="10" t="e">
        <f t="shared" si="7"/>
        <v>#REF!</v>
      </c>
      <c r="P45" s="15" t="s">
        <v>297</v>
      </c>
    </row>
    <row r="46" spans="1:16" x14ac:dyDescent="0.25">
      <c r="A46" s="13" t="s">
        <v>213</v>
      </c>
      <c r="B46" s="10" t="e">
        <f>-SUMIFS(#REF!,#REF!,$A46,#REF!,B$2)</f>
        <v>#REF!</v>
      </c>
      <c r="C46" s="10" t="e">
        <f>-SUMIFS(#REF!,#REF!,$A46,#REF!,C$2)</f>
        <v>#REF!</v>
      </c>
      <c r="D46" s="10" t="e">
        <f>-SUMIFS(#REF!,#REF!,$A46,#REF!,D$2)</f>
        <v>#REF!</v>
      </c>
      <c r="E46" s="10" t="e">
        <f>-SUMIFS(#REF!,#REF!,$A46,#REF!,E$2)</f>
        <v>#REF!</v>
      </c>
      <c r="F46" s="10" t="e">
        <f>-SUMIFS(#REF!,#REF!,$A46,#REF!,F$2)</f>
        <v>#REF!</v>
      </c>
      <c r="G46" s="10" t="e">
        <f>-SUMIFS(#REF!,#REF!,$A46,#REF!,G$2)</f>
        <v>#REF!</v>
      </c>
      <c r="H46" s="10" t="e">
        <f>-SUMIFS(#REF!,#REF!,$A46,#REF!,H$2)</f>
        <v>#REF!</v>
      </c>
      <c r="I46" s="10" t="e">
        <f>-SUMIFS(#REF!,#REF!,$A46,#REF!,I$2)</f>
        <v>#REF!</v>
      </c>
      <c r="J46" s="10" t="e">
        <f>-SUMIFS(#REF!,#REF!,$A46,#REF!,J$2)</f>
        <v>#REF!</v>
      </c>
      <c r="K46" s="10" t="e">
        <f>-SUMIFS(#REF!,#REF!,$A46,#REF!,K$2)</f>
        <v>#REF!</v>
      </c>
      <c r="L46" s="10" t="e">
        <f>-SUMIFS(#REF!,#REF!,$A46,#REF!,L$2)</f>
        <v>#REF!</v>
      </c>
      <c r="M46" s="10" t="e">
        <f>-SUMIFS(#REF!,#REF!,$A46,#REF!,M$2)</f>
        <v>#REF!</v>
      </c>
      <c r="O46" s="10" t="e">
        <f t="shared" si="7"/>
        <v>#REF!</v>
      </c>
      <c r="P46" s="15" t="s">
        <v>297</v>
      </c>
    </row>
    <row r="47" spans="1:16" x14ac:dyDescent="0.25">
      <c r="A47" s="13" t="s">
        <v>131</v>
      </c>
      <c r="B47" s="10" t="e">
        <f>-SUMIFS(#REF!,#REF!,$A47,#REF!,B$2)</f>
        <v>#REF!</v>
      </c>
      <c r="C47" s="10" t="e">
        <f>-SUMIFS(#REF!,#REF!,$A47,#REF!,C$2)</f>
        <v>#REF!</v>
      </c>
      <c r="D47" s="10" t="e">
        <f>-SUMIFS(#REF!,#REF!,$A47,#REF!,D$2)</f>
        <v>#REF!</v>
      </c>
      <c r="E47" s="10" t="e">
        <f>-SUMIFS(#REF!,#REF!,$A47,#REF!,E$2)</f>
        <v>#REF!</v>
      </c>
      <c r="F47" s="10" t="e">
        <f>-SUMIFS(#REF!,#REF!,$A47,#REF!,F$2)</f>
        <v>#REF!</v>
      </c>
      <c r="G47" s="10" t="e">
        <f>-SUMIFS(#REF!,#REF!,$A47,#REF!,G$2)</f>
        <v>#REF!</v>
      </c>
      <c r="H47" s="10" t="e">
        <f>-SUMIFS(#REF!,#REF!,$A47,#REF!,H$2)</f>
        <v>#REF!</v>
      </c>
      <c r="I47" s="10" t="e">
        <f>-SUMIFS(#REF!,#REF!,$A47,#REF!,I$2)</f>
        <v>#REF!</v>
      </c>
      <c r="J47" s="10" t="e">
        <f>-SUMIFS(#REF!,#REF!,$A47,#REF!,J$2)</f>
        <v>#REF!</v>
      </c>
      <c r="K47" s="10" t="e">
        <f>-SUMIFS(#REF!,#REF!,$A47,#REF!,K$2)</f>
        <v>#REF!</v>
      </c>
      <c r="L47" s="10" t="e">
        <f>-SUMIFS(#REF!,#REF!,$A47,#REF!,L$2)</f>
        <v>#REF!</v>
      </c>
      <c r="M47" s="10" t="e">
        <f>-SUMIFS(#REF!,#REF!,$A47,#REF!,M$2)</f>
        <v>#REF!</v>
      </c>
      <c r="O47" s="10" t="e">
        <f t="shared" si="7"/>
        <v>#REF!</v>
      </c>
      <c r="P47" s="15" t="s">
        <v>297</v>
      </c>
    </row>
    <row r="48" spans="1:16" x14ac:dyDescent="0.25">
      <c r="A48" s="13" t="s">
        <v>132</v>
      </c>
      <c r="B48" s="10" t="e">
        <f>-SUMIFS(#REF!,#REF!,$A48,#REF!,B$2)</f>
        <v>#REF!</v>
      </c>
      <c r="C48" s="10" t="e">
        <f>-SUMIFS(#REF!,#REF!,$A48,#REF!,C$2)</f>
        <v>#REF!</v>
      </c>
      <c r="D48" s="10" t="e">
        <f>-SUMIFS(#REF!,#REF!,$A48,#REF!,D$2)</f>
        <v>#REF!</v>
      </c>
      <c r="E48" s="10" t="e">
        <f>-SUMIFS(#REF!,#REF!,$A48,#REF!,E$2)</f>
        <v>#REF!</v>
      </c>
      <c r="F48" s="10" t="e">
        <f>-SUMIFS(#REF!,#REF!,$A48,#REF!,F$2)</f>
        <v>#REF!</v>
      </c>
      <c r="G48" s="10" t="e">
        <f>-SUMIFS(#REF!,#REF!,$A48,#REF!,G$2)</f>
        <v>#REF!</v>
      </c>
      <c r="H48" s="10" t="e">
        <f>-SUMIFS(#REF!,#REF!,$A48,#REF!,H$2)</f>
        <v>#REF!</v>
      </c>
      <c r="I48" s="10" t="e">
        <f>-SUMIFS(#REF!,#REF!,$A48,#REF!,I$2)</f>
        <v>#REF!</v>
      </c>
      <c r="J48" s="10" t="e">
        <f>-SUMIFS(#REF!,#REF!,$A48,#REF!,J$2)</f>
        <v>#REF!</v>
      </c>
      <c r="K48" s="10" t="e">
        <f>-SUMIFS(#REF!,#REF!,$A48,#REF!,K$2)</f>
        <v>#REF!</v>
      </c>
      <c r="L48" s="10" t="e">
        <f>-SUMIFS(#REF!,#REF!,$A48,#REF!,L$2)</f>
        <v>#REF!</v>
      </c>
      <c r="M48" s="10" t="e">
        <f>-SUMIFS(#REF!,#REF!,$A48,#REF!,M$2)</f>
        <v>#REF!</v>
      </c>
      <c r="O48" s="10" t="e">
        <f t="shared" si="7"/>
        <v>#REF!</v>
      </c>
      <c r="P48" s="15" t="s">
        <v>297</v>
      </c>
    </row>
    <row r="49" spans="1:16" x14ac:dyDescent="0.25">
      <c r="A49" s="13" t="s">
        <v>203</v>
      </c>
      <c r="B49" s="10" t="e">
        <f>-SUMIFS(#REF!,#REF!,$A49,#REF!,B$2)</f>
        <v>#REF!</v>
      </c>
      <c r="C49" s="10" t="e">
        <f>-SUMIFS(#REF!,#REF!,$A49,#REF!,C$2)</f>
        <v>#REF!</v>
      </c>
      <c r="D49" s="10" t="e">
        <f>-SUMIFS(#REF!,#REF!,$A49,#REF!,D$2)</f>
        <v>#REF!</v>
      </c>
      <c r="E49" s="10" t="e">
        <f>-SUMIFS(#REF!,#REF!,$A49,#REF!,E$2)</f>
        <v>#REF!</v>
      </c>
      <c r="F49" s="10" t="e">
        <f>-SUMIFS(#REF!,#REF!,$A49,#REF!,F$2)</f>
        <v>#REF!</v>
      </c>
      <c r="G49" s="10" t="e">
        <f>-SUMIFS(#REF!,#REF!,$A49,#REF!,G$2)</f>
        <v>#REF!</v>
      </c>
      <c r="H49" s="10" t="e">
        <f>-SUMIFS(#REF!,#REF!,$A49,#REF!,H$2)</f>
        <v>#REF!</v>
      </c>
      <c r="I49" s="10" t="e">
        <f>-SUMIFS(#REF!,#REF!,$A49,#REF!,I$2)</f>
        <v>#REF!</v>
      </c>
      <c r="J49" s="10" t="e">
        <f>-SUMIFS(#REF!,#REF!,$A49,#REF!,J$2)</f>
        <v>#REF!</v>
      </c>
      <c r="K49" s="10" t="e">
        <f>-SUMIFS(#REF!,#REF!,$A49,#REF!,K$2)</f>
        <v>#REF!</v>
      </c>
      <c r="L49" s="10" t="e">
        <f>-SUMIFS(#REF!,#REF!,$A49,#REF!,L$2)</f>
        <v>#REF!</v>
      </c>
      <c r="M49" s="10" t="e">
        <f>-SUMIFS(#REF!,#REF!,$A49,#REF!,M$2)</f>
        <v>#REF!</v>
      </c>
      <c r="O49" s="10" t="e">
        <f t="shared" si="7"/>
        <v>#REF!</v>
      </c>
      <c r="P49" s="15" t="s">
        <v>297</v>
      </c>
    </row>
    <row r="50" spans="1:16" x14ac:dyDescent="0.25">
      <c r="A50" s="15" t="s">
        <v>277</v>
      </c>
      <c r="B50" s="16" t="e">
        <f t="shared" ref="B50:M50" si="8">SUM(B38:B49)</f>
        <v>#REF!</v>
      </c>
      <c r="C50" s="16" t="e">
        <f t="shared" si="8"/>
        <v>#REF!</v>
      </c>
      <c r="D50" s="16" t="e">
        <f t="shared" si="8"/>
        <v>#REF!</v>
      </c>
      <c r="E50" s="16" t="e">
        <f t="shared" si="8"/>
        <v>#REF!</v>
      </c>
      <c r="F50" s="16" t="e">
        <f t="shared" si="8"/>
        <v>#REF!</v>
      </c>
      <c r="G50" s="16" t="e">
        <f t="shared" si="8"/>
        <v>#REF!</v>
      </c>
      <c r="H50" s="16" t="e">
        <f t="shared" si="8"/>
        <v>#REF!</v>
      </c>
      <c r="I50" s="16" t="e">
        <f t="shared" si="8"/>
        <v>#REF!</v>
      </c>
      <c r="J50" s="16" t="e">
        <f t="shared" si="8"/>
        <v>#REF!</v>
      </c>
      <c r="K50" s="16" t="e">
        <f t="shared" si="8"/>
        <v>#REF!</v>
      </c>
      <c r="L50" s="16" t="e">
        <f t="shared" si="8"/>
        <v>#REF!</v>
      </c>
      <c r="M50" s="16" t="e">
        <f t="shared" si="8"/>
        <v>#REF!</v>
      </c>
      <c r="O50" s="16" t="e">
        <f>SUM(O38:O49)</f>
        <v>#REF!</v>
      </c>
      <c r="P50" s="15" t="s">
        <v>297</v>
      </c>
    </row>
    <row r="51" spans="1:16" x14ac:dyDescent="0.25">
      <c r="A51" s="8"/>
      <c r="P51" s="33" t="s">
        <v>295</v>
      </c>
    </row>
    <row r="52" spans="1:16" x14ac:dyDescent="0.25">
      <c r="A52" s="8" t="s">
        <v>278</v>
      </c>
      <c r="P52" s="33" t="s">
        <v>295</v>
      </c>
    </row>
    <row r="53" spans="1:16" x14ac:dyDescent="0.25">
      <c r="A53" s="25" t="s">
        <v>206</v>
      </c>
      <c r="B53" s="10" t="e">
        <f>SUMIFS(#REF!,#REF!,$A53,#REF!,B$2)</f>
        <v>#REF!</v>
      </c>
      <c r="C53" s="10" t="e">
        <f>SUMIFS(#REF!,#REF!,$A53,#REF!,C$2)</f>
        <v>#REF!</v>
      </c>
      <c r="D53" s="10" t="e">
        <f>SUMIFS(#REF!,#REF!,$A53,#REF!,D$2)</f>
        <v>#REF!</v>
      </c>
      <c r="E53" s="10" t="e">
        <f>SUMIFS(#REF!,#REF!,$A53,#REF!,E$2)</f>
        <v>#REF!</v>
      </c>
      <c r="F53" s="10" t="e">
        <f>SUMIFS(#REF!,#REF!,$A53,#REF!,F$2)</f>
        <v>#REF!</v>
      </c>
      <c r="G53" s="10" t="e">
        <f>SUMIFS(#REF!,#REF!,$A53,#REF!,G$2)</f>
        <v>#REF!</v>
      </c>
      <c r="H53" s="10" t="e">
        <f>SUMIFS(#REF!,#REF!,$A53,#REF!,H$2)</f>
        <v>#REF!</v>
      </c>
      <c r="I53" s="10" t="e">
        <f>SUMIFS(#REF!,#REF!,$A53,#REF!,I$2)</f>
        <v>#REF!</v>
      </c>
      <c r="J53" s="10" t="e">
        <f>SUMIFS(#REF!,#REF!,$A53,#REF!,J$2)</f>
        <v>#REF!</v>
      </c>
      <c r="K53" s="10" t="e">
        <f>SUMIFS(#REF!,#REF!,$A53,#REF!,K$2)</f>
        <v>#REF!</v>
      </c>
      <c r="L53" s="10" t="e">
        <f>SUMIFS(#REF!,#REF!,$A53,#REF!,L$2)</f>
        <v>#REF!</v>
      </c>
      <c r="M53" s="10" t="e">
        <f>SUMIFS(#REF!,#REF!,$A53,#REF!,M$2)</f>
        <v>#REF!</v>
      </c>
      <c r="O53" s="10" t="e">
        <f>SUM(B53:N53)</f>
        <v>#REF!</v>
      </c>
      <c r="P53" s="15" t="s">
        <v>297</v>
      </c>
    </row>
    <row r="54" spans="1:16" x14ac:dyDescent="0.25">
      <c r="A54" s="12"/>
      <c r="P54" s="33" t="s">
        <v>295</v>
      </c>
    </row>
    <row r="55" spans="1:16" x14ac:dyDescent="0.25">
      <c r="A55" s="21" t="s">
        <v>280</v>
      </c>
      <c r="B55" s="20" t="e">
        <f>B50-B53</f>
        <v>#REF!</v>
      </c>
      <c r="C55" s="20" t="e">
        <f t="shared" ref="C55:M55" si="9">C50-C53</f>
        <v>#REF!</v>
      </c>
      <c r="D55" s="20" t="e">
        <f t="shared" si="9"/>
        <v>#REF!</v>
      </c>
      <c r="E55" s="20" t="e">
        <f t="shared" si="9"/>
        <v>#REF!</v>
      </c>
      <c r="F55" s="20" t="e">
        <f t="shared" si="9"/>
        <v>#REF!</v>
      </c>
      <c r="G55" s="20" t="e">
        <f t="shared" si="9"/>
        <v>#REF!</v>
      </c>
      <c r="H55" s="20" t="e">
        <f t="shared" si="9"/>
        <v>#REF!</v>
      </c>
      <c r="I55" s="20" t="e">
        <f t="shared" si="9"/>
        <v>#REF!</v>
      </c>
      <c r="J55" s="20" t="e">
        <f t="shared" si="9"/>
        <v>#REF!</v>
      </c>
      <c r="K55" s="20" t="e">
        <f t="shared" si="9"/>
        <v>#REF!</v>
      </c>
      <c r="L55" s="20" t="e">
        <f t="shared" si="9"/>
        <v>#REF!</v>
      </c>
      <c r="M55" s="20" t="e">
        <f t="shared" si="9"/>
        <v>#REF!</v>
      </c>
      <c r="O55" s="20" t="e">
        <f t="shared" ref="O55" si="10">O50-O53</f>
        <v>#REF!</v>
      </c>
      <c r="P55" s="15" t="s">
        <v>297</v>
      </c>
    </row>
    <row r="56" spans="1:16" x14ac:dyDescent="0.25">
      <c r="P56" s="33" t="s">
        <v>295</v>
      </c>
    </row>
    <row r="57" spans="1:16" x14ac:dyDescent="0.25">
      <c r="A57" s="8" t="s">
        <v>134</v>
      </c>
      <c r="P57" s="33" t="s">
        <v>295</v>
      </c>
    </row>
    <row r="58" spans="1:16" x14ac:dyDescent="0.25">
      <c r="A58" s="9" t="s">
        <v>135</v>
      </c>
      <c r="B58" s="10" t="e">
        <f>-SUMIFS(#REF!,#REF!,$A58,#REF!,B$2)</f>
        <v>#REF!</v>
      </c>
      <c r="C58" s="10" t="e">
        <f>-SUMIFS(#REF!,#REF!,$A58,#REF!,C$2)</f>
        <v>#REF!</v>
      </c>
      <c r="D58" s="10" t="e">
        <f>-SUMIFS(#REF!,#REF!,$A58,#REF!,D$2)</f>
        <v>#REF!</v>
      </c>
      <c r="E58" s="10" t="e">
        <f>-SUMIFS(#REF!,#REF!,$A58,#REF!,E$2)</f>
        <v>#REF!</v>
      </c>
      <c r="F58" s="10" t="e">
        <f>-SUMIFS(#REF!,#REF!,$A58,#REF!,F$2)</f>
        <v>#REF!</v>
      </c>
      <c r="G58" s="10" t="e">
        <f>-SUMIFS(#REF!,#REF!,$A58,#REF!,G$2)</f>
        <v>#REF!</v>
      </c>
      <c r="H58" s="10" t="e">
        <f>-SUMIFS(#REF!,#REF!,$A58,#REF!,H$2)</f>
        <v>#REF!</v>
      </c>
      <c r="I58" s="10" t="e">
        <f>-SUMIFS(#REF!,#REF!,$A58,#REF!,I$2)</f>
        <v>#REF!</v>
      </c>
      <c r="J58" s="10" t="e">
        <f>-SUMIFS(#REF!,#REF!,$A58,#REF!,J$2)</f>
        <v>#REF!</v>
      </c>
      <c r="K58" s="10" t="e">
        <f>-SUMIFS(#REF!,#REF!,$A58,#REF!,K$2)</f>
        <v>#REF!</v>
      </c>
      <c r="L58" s="10" t="e">
        <f>-SUMIFS(#REF!,#REF!,$A58,#REF!,L$2)</f>
        <v>#REF!</v>
      </c>
      <c r="M58" s="10" t="e">
        <f>-SUMIFS(#REF!,#REF!,$A58,#REF!,M$2)</f>
        <v>#REF!</v>
      </c>
      <c r="O58" s="10" t="e">
        <f t="shared" ref="O58:O65" si="11">SUM(B58:N58)</f>
        <v>#REF!</v>
      </c>
      <c r="P58" s="15" t="s">
        <v>298</v>
      </c>
    </row>
    <row r="59" spans="1:16" x14ac:dyDescent="0.25">
      <c r="A59" s="13" t="s">
        <v>136</v>
      </c>
      <c r="B59" s="10" t="e">
        <f>-SUMIFS(#REF!,#REF!,$A59,#REF!,B$2)</f>
        <v>#REF!</v>
      </c>
      <c r="C59" s="10" t="e">
        <f>-SUMIFS(#REF!,#REF!,$A59,#REF!,C$2)</f>
        <v>#REF!</v>
      </c>
      <c r="D59" s="10" t="e">
        <f>-SUMIFS(#REF!,#REF!,$A59,#REF!,D$2)</f>
        <v>#REF!</v>
      </c>
      <c r="E59" s="10" t="e">
        <f>-SUMIFS(#REF!,#REF!,$A59,#REF!,E$2)</f>
        <v>#REF!</v>
      </c>
      <c r="F59" s="10" t="e">
        <f>-SUMIFS(#REF!,#REF!,$A59,#REF!,F$2)</f>
        <v>#REF!</v>
      </c>
      <c r="G59" s="10" t="e">
        <f>-SUMIFS(#REF!,#REF!,$A59,#REF!,G$2)</f>
        <v>#REF!</v>
      </c>
      <c r="H59" s="10" t="e">
        <f>-SUMIFS(#REF!,#REF!,$A59,#REF!,H$2)</f>
        <v>#REF!</v>
      </c>
      <c r="I59" s="10" t="e">
        <f>-SUMIFS(#REF!,#REF!,$A59,#REF!,I$2)</f>
        <v>#REF!</v>
      </c>
      <c r="J59" s="10" t="e">
        <f>-SUMIFS(#REF!,#REF!,$A59,#REF!,J$2)</f>
        <v>#REF!</v>
      </c>
      <c r="K59" s="10" t="e">
        <f>-SUMIFS(#REF!,#REF!,$A59,#REF!,K$2)</f>
        <v>#REF!</v>
      </c>
      <c r="L59" s="10" t="e">
        <f>-SUMIFS(#REF!,#REF!,$A59,#REF!,L$2)</f>
        <v>#REF!</v>
      </c>
      <c r="M59" s="10" t="e">
        <f>-SUMIFS(#REF!,#REF!,$A59,#REF!,M$2)</f>
        <v>#REF!</v>
      </c>
      <c r="O59" s="10" t="e">
        <f t="shared" si="11"/>
        <v>#REF!</v>
      </c>
      <c r="P59" s="15" t="s">
        <v>298</v>
      </c>
    </row>
    <row r="60" spans="1:16" x14ac:dyDescent="0.25">
      <c r="A60" s="13" t="s">
        <v>137</v>
      </c>
      <c r="B60" s="10" t="e">
        <f>-SUMIFS(#REF!,#REF!,$A60,#REF!,B$2)</f>
        <v>#REF!</v>
      </c>
      <c r="C60" s="10" t="e">
        <f>-SUMIFS(#REF!,#REF!,$A60,#REF!,C$2)</f>
        <v>#REF!</v>
      </c>
      <c r="D60" s="10" t="e">
        <f>-SUMIFS(#REF!,#REF!,$A60,#REF!,D$2)</f>
        <v>#REF!</v>
      </c>
      <c r="E60" s="10" t="e">
        <f>-SUMIFS(#REF!,#REF!,$A60,#REF!,E$2)</f>
        <v>#REF!</v>
      </c>
      <c r="F60" s="10" t="e">
        <f>-SUMIFS(#REF!,#REF!,$A60,#REF!,F$2)</f>
        <v>#REF!</v>
      </c>
      <c r="G60" s="10" t="e">
        <f>-SUMIFS(#REF!,#REF!,$A60,#REF!,G$2)</f>
        <v>#REF!</v>
      </c>
      <c r="H60" s="10" t="e">
        <f>-SUMIFS(#REF!,#REF!,$A60,#REF!,H$2)</f>
        <v>#REF!</v>
      </c>
      <c r="I60" s="10" t="e">
        <f>-SUMIFS(#REF!,#REF!,$A60,#REF!,I$2)</f>
        <v>#REF!</v>
      </c>
      <c r="J60" s="10" t="e">
        <f>-SUMIFS(#REF!,#REF!,$A60,#REF!,J$2)</f>
        <v>#REF!</v>
      </c>
      <c r="K60" s="10" t="e">
        <f>-SUMIFS(#REF!,#REF!,$A60,#REF!,K$2)</f>
        <v>#REF!</v>
      </c>
      <c r="L60" s="10" t="e">
        <f>-SUMIFS(#REF!,#REF!,$A60,#REF!,L$2)</f>
        <v>#REF!</v>
      </c>
      <c r="M60" s="10" t="e">
        <f>-SUMIFS(#REF!,#REF!,$A60,#REF!,M$2)</f>
        <v>#REF!</v>
      </c>
      <c r="O60" s="10" t="e">
        <f t="shared" si="11"/>
        <v>#REF!</v>
      </c>
      <c r="P60" s="15" t="s">
        <v>298</v>
      </c>
    </row>
    <row r="61" spans="1:16" x14ac:dyDescent="0.25">
      <c r="A61" s="13" t="s">
        <v>198</v>
      </c>
      <c r="B61" s="10" t="e">
        <f>-SUMIFS(#REF!,#REF!,$A61,#REF!,B$2)</f>
        <v>#REF!</v>
      </c>
      <c r="C61" s="10" t="e">
        <f>-SUMIFS(#REF!,#REF!,$A61,#REF!,C$2)</f>
        <v>#REF!</v>
      </c>
      <c r="D61" s="10" t="e">
        <f>-SUMIFS(#REF!,#REF!,$A61,#REF!,D$2)</f>
        <v>#REF!</v>
      </c>
      <c r="E61" s="10" t="e">
        <f>-SUMIFS(#REF!,#REF!,$A61,#REF!,E$2)</f>
        <v>#REF!</v>
      </c>
      <c r="F61" s="10" t="e">
        <f>-SUMIFS(#REF!,#REF!,$A61,#REF!,F$2)</f>
        <v>#REF!</v>
      </c>
      <c r="G61" s="10" t="e">
        <f>-SUMIFS(#REF!,#REF!,$A61,#REF!,G$2)</f>
        <v>#REF!</v>
      </c>
      <c r="H61" s="10" t="e">
        <f>-SUMIFS(#REF!,#REF!,$A61,#REF!,H$2)</f>
        <v>#REF!</v>
      </c>
      <c r="I61" s="10" t="e">
        <f>-SUMIFS(#REF!,#REF!,$A61,#REF!,I$2)</f>
        <v>#REF!</v>
      </c>
      <c r="J61" s="10" t="e">
        <f>-SUMIFS(#REF!,#REF!,$A61,#REF!,J$2)</f>
        <v>#REF!</v>
      </c>
      <c r="K61" s="10" t="e">
        <f>-SUMIFS(#REF!,#REF!,$A61,#REF!,K$2)</f>
        <v>#REF!</v>
      </c>
      <c r="L61" s="10" t="e">
        <f>-SUMIFS(#REF!,#REF!,$A61,#REF!,L$2)</f>
        <v>#REF!</v>
      </c>
      <c r="M61" s="10" t="e">
        <f>-SUMIFS(#REF!,#REF!,$A61,#REF!,M$2)</f>
        <v>#REF!</v>
      </c>
      <c r="O61" s="10" t="e">
        <f t="shared" si="11"/>
        <v>#REF!</v>
      </c>
      <c r="P61" s="15" t="s">
        <v>298</v>
      </c>
    </row>
    <row r="62" spans="1:16" x14ac:dyDescent="0.25">
      <c r="A62" s="13" t="s">
        <v>138</v>
      </c>
      <c r="B62" s="10" t="e">
        <f>-SUMIFS(#REF!,#REF!,$A62,#REF!,B$2)</f>
        <v>#REF!</v>
      </c>
      <c r="C62" s="10" t="e">
        <f>-SUMIFS(#REF!,#REF!,$A62,#REF!,C$2)</f>
        <v>#REF!</v>
      </c>
      <c r="D62" s="10" t="e">
        <f>-SUMIFS(#REF!,#REF!,$A62,#REF!,D$2)</f>
        <v>#REF!</v>
      </c>
      <c r="E62" s="10" t="e">
        <f>-SUMIFS(#REF!,#REF!,$A62,#REF!,E$2)</f>
        <v>#REF!</v>
      </c>
      <c r="F62" s="10" t="e">
        <f>-SUMIFS(#REF!,#REF!,$A62,#REF!,F$2)</f>
        <v>#REF!</v>
      </c>
      <c r="G62" s="10" t="e">
        <f>-SUMIFS(#REF!,#REF!,$A62,#REF!,G$2)</f>
        <v>#REF!</v>
      </c>
      <c r="H62" s="10" t="e">
        <f>-SUMIFS(#REF!,#REF!,$A62,#REF!,H$2)</f>
        <v>#REF!</v>
      </c>
      <c r="I62" s="10" t="e">
        <f>-SUMIFS(#REF!,#REF!,$A62,#REF!,I$2)</f>
        <v>#REF!</v>
      </c>
      <c r="J62" s="10" t="e">
        <f>-SUMIFS(#REF!,#REF!,$A62,#REF!,J$2)</f>
        <v>#REF!</v>
      </c>
      <c r="K62" s="10" t="e">
        <f>-SUMIFS(#REF!,#REF!,$A62,#REF!,K$2)</f>
        <v>#REF!</v>
      </c>
      <c r="L62" s="10" t="e">
        <f>-SUMIFS(#REF!,#REF!,$A62,#REF!,L$2)</f>
        <v>#REF!</v>
      </c>
      <c r="M62" s="10" t="e">
        <f>-SUMIFS(#REF!,#REF!,$A62,#REF!,M$2)</f>
        <v>#REF!</v>
      </c>
      <c r="O62" s="10" t="e">
        <f t="shared" si="11"/>
        <v>#REF!</v>
      </c>
      <c r="P62" s="15" t="s">
        <v>298</v>
      </c>
    </row>
    <row r="63" spans="1:16" x14ac:dyDescent="0.25">
      <c r="A63" s="13" t="s">
        <v>139</v>
      </c>
      <c r="B63" s="10" t="e">
        <f>-SUMIFS(#REF!,#REF!,$A63,#REF!,B$2)</f>
        <v>#REF!</v>
      </c>
      <c r="C63" s="10" t="e">
        <f>-SUMIFS(#REF!,#REF!,$A63,#REF!,C$2)</f>
        <v>#REF!</v>
      </c>
      <c r="D63" s="10" t="e">
        <f>-SUMIFS(#REF!,#REF!,$A63,#REF!,D$2)</f>
        <v>#REF!</v>
      </c>
      <c r="E63" s="10" t="e">
        <f>-SUMIFS(#REF!,#REF!,$A63,#REF!,E$2)</f>
        <v>#REF!</v>
      </c>
      <c r="F63" s="10" t="e">
        <f>-SUMIFS(#REF!,#REF!,$A63,#REF!,F$2)</f>
        <v>#REF!</v>
      </c>
      <c r="G63" s="10" t="e">
        <f>-SUMIFS(#REF!,#REF!,$A63,#REF!,G$2)</f>
        <v>#REF!</v>
      </c>
      <c r="H63" s="10" t="e">
        <f>-SUMIFS(#REF!,#REF!,$A63,#REF!,H$2)</f>
        <v>#REF!</v>
      </c>
      <c r="I63" s="10" t="e">
        <f>-SUMIFS(#REF!,#REF!,$A63,#REF!,I$2)</f>
        <v>#REF!</v>
      </c>
      <c r="J63" s="10" t="e">
        <f>-SUMIFS(#REF!,#REF!,$A63,#REF!,J$2)</f>
        <v>#REF!</v>
      </c>
      <c r="K63" s="10" t="e">
        <f>-SUMIFS(#REF!,#REF!,$A63,#REF!,K$2)</f>
        <v>#REF!</v>
      </c>
      <c r="L63" s="10" t="e">
        <f>-SUMIFS(#REF!,#REF!,$A63,#REF!,L$2)</f>
        <v>#REF!</v>
      </c>
      <c r="M63" s="10" t="e">
        <f>-SUMIFS(#REF!,#REF!,$A63,#REF!,M$2)</f>
        <v>#REF!</v>
      </c>
      <c r="O63" s="10" t="e">
        <f t="shared" si="11"/>
        <v>#REF!</v>
      </c>
      <c r="P63" s="15" t="s">
        <v>298</v>
      </c>
    </row>
    <row r="64" spans="1:16" x14ac:dyDescent="0.25">
      <c r="A64" s="13" t="s">
        <v>141</v>
      </c>
      <c r="B64" s="10" t="e">
        <f>-SUMIFS(#REF!,#REF!,$A64,#REF!,B$2)</f>
        <v>#REF!</v>
      </c>
      <c r="C64" s="10" t="e">
        <f>-SUMIFS(#REF!,#REF!,$A64,#REF!,C$2)</f>
        <v>#REF!</v>
      </c>
      <c r="D64" s="10" t="e">
        <f>-SUMIFS(#REF!,#REF!,$A64,#REF!,D$2)</f>
        <v>#REF!</v>
      </c>
      <c r="E64" s="10" t="e">
        <f>-SUMIFS(#REF!,#REF!,$A64,#REF!,E$2)</f>
        <v>#REF!</v>
      </c>
      <c r="F64" s="10" t="e">
        <f>-SUMIFS(#REF!,#REF!,$A64,#REF!,F$2)</f>
        <v>#REF!</v>
      </c>
      <c r="G64" s="10" t="e">
        <f>-SUMIFS(#REF!,#REF!,$A64,#REF!,G$2)</f>
        <v>#REF!</v>
      </c>
      <c r="H64" s="10" t="e">
        <f>-SUMIFS(#REF!,#REF!,$A64,#REF!,H$2)</f>
        <v>#REF!</v>
      </c>
      <c r="I64" s="10" t="e">
        <f>-SUMIFS(#REF!,#REF!,$A64,#REF!,I$2)</f>
        <v>#REF!</v>
      </c>
      <c r="J64" s="10" t="e">
        <f>-SUMIFS(#REF!,#REF!,$A64,#REF!,J$2)</f>
        <v>#REF!</v>
      </c>
      <c r="K64" s="10" t="e">
        <f>-SUMIFS(#REF!,#REF!,$A64,#REF!,K$2)</f>
        <v>#REF!</v>
      </c>
      <c r="L64" s="10" t="e">
        <f>-SUMIFS(#REF!,#REF!,$A64,#REF!,L$2)</f>
        <v>#REF!</v>
      </c>
      <c r="M64" s="10" t="e">
        <f>-SUMIFS(#REF!,#REF!,$A64,#REF!,M$2)</f>
        <v>#REF!</v>
      </c>
      <c r="O64" s="10" t="e">
        <f t="shared" si="11"/>
        <v>#REF!</v>
      </c>
      <c r="P64" s="15" t="s">
        <v>298</v>
      </c>
    </row>
    <row r="65" spans="1:16" x14ac:dyDescent="0.25">
      <c r="A65" s="13" t="s">
        <v>142</v>
      </c>
      <c r="B65" s="10" t="e">
        <f>-SUMIFS(#REF!,#REF!,$A65,#REF!,B$2)</f>
        <v>#REF!</v>
      </c>
      <c r="C65" s="10" t="e">
        <f>-SUMIFS(#REF!,#REF!,$A65,#REF!,C$2)</f>
        <v>#REF!</v>
      </c>
      <c r="D65" s="10" t="e">
        <f>-SUMIFS(#REF!,#REF!,$A65,#REF!,D$2)</f>
        <v>#REF!</v>
      </c>
      <c r="E65" s="10" t="e">
        <f>-SUMIFS(#REF!,#REF!,$A65,#REF!,E$2)</f>
        <v>#REF!</v>
      </c>
      <c r="F65" s="10" t="e">
        <f>-SUMIFS(#REF!,#REF!,$A65,#REF!,F$2)</f>
        <v>#REF!</v>
      </c>
      <c r="G65" s="10" t="e">
        <f>-SUMIFS(#REF!,#REF!,$A65,#REF!,G$2)</f>
        <v>#REF!</v>
      </c>
      <c r="H65" s="10" t="e">
        <f>-SUMIFS(#REF!,#REF!,$A65,#REF!,H$2)</f>
        <v>#REF!</v>
      </c>
      <c r="I65" s="10" t="e">
        <f>-SUMIFS(#REF!,#REF!,$A65,#REF!,I$2)</f>
        <v>#REF!</v>
      </c>
      <c r="J65" s="10" t="e">
        <f>-SUMIFS(#REF!,#REF!,$A65,#REF!,J$2)</f>
        <v>#REF!</v>
      </c>
      <c r="K65" s="10" t="e">
        <f>-SUMIFS(#REF!,#REF!,$A65,#REF!,K$2)</f>
        <v>#REF!</v>
      </c>
      <c r="L65" s="10" t="e">
        <f>-SUMIFS(#REF!,#REF!,$A65,#REF!,L$2)</f>
        <v>#REF!</v>
      </c>
      <c r="M65" s="10" t="e">
        <f>-SUMIFS(#REF!,#REF!,$A65,#REF!,M$2)</f>
        <v>#REF!</v>
      </c>
      <c r="O65" s="10" t="e">
        <f t="shared" si="11"/>
        <v>#REF!</v>
      </c>
      <c r="P65" s="15" t="s">
        <v>298</v>
      </c>
    </row>
    <row r="66" spans="1:16" x14ac:dyDescent="0.25">
      <c r="A66" s="15" t="s">
        <v>266</v>
      </c>
      <c r="B66" s="16" t="e">
        <f t="shared" ref="B66:M66" si="12">SUM(B58:B65)</f>
        <v>#REF!</v>
      </c>
      <c r="C66" s="16" t="e">
        <f t="shared" si="12"/>
        <v>#REF!</v>
      </c>
      <c r="D66" s="16" t="e">
        <f t="shared" si="12"/>
        <v>#REF!</v>
      </c>
      <c r="E66" s="16" t="e">
        <f t="shared" si="12"/>
        <v>#REF!</v>
      </c>
      <c r="F66" s="16" t="e">
        <f t="shared" si="12"/>
        <v>#REF!</v>
      </c>
      <c r="G66" s="16" t="e">
        <f t="shared" si="12"/>
        <v>#REF!</v>
      </c>
      <c r="H66" s="16" t="e">
        <f t="shared" si="12"/>
        <v>#REF!</v>
      </c>
      <c r="I66" s="16" t="e">
        <f t="shared" si="12"/>
        <v>#REF!</v>
      </c>
      <c r="J66" s="16" t="e">
        <f t="shared" si="12"/>
        <v>#REF!</v>
      </c>
      <c r="K66" s="16" t="e">
        <f t="shared" si="12"/>
        <v>#REF!</v>
      </c>
      <c r="L66" s="16" t="e">
        <f t="shared" si="12"/>
        <v>#REF!</v>
      </c>
      <c r="M66" s="16" t="e">
        <f t="shared" si="12"/>
        <v>#REF!</v>
      </c>
      <c r="O66" s="16" t="e">
        <f>SUM(O58:O65)</f>
        <v>#REF!</v>
      </c>
      <c r="P66" s="15" t="s">
        <v>298</v>
      </c>
    </row>
    <row r="67" spans="1:16" x14ac:dyDescent="0.25">
      <c r="A67" s="8" t="s">
        <v>143</v>
      </c>
      <c r="P67" s="33" t="s">
        <v>295</v>
      </c>
    </row>
    <row r="68" spans="1:16" x14ac:dyDescent="0.25">
      <c r="A68" s="9" t="s">
        <v>144</v>
      </c>
      <c r="B68" s="10" t="e">
        <f>-SUMIFS(#REF!,#REF!,$A68,#REF!,B$2)</f>
        <v>#REF!</v>
      </c>
      <c r="C68" s="10" t="e">
        <f>-SUMIFS(#REF!,#REF!,$A68,#REF!,C$2)</f>
        <v>#REF!</v>
      </c>
      <c r="D68" s="10" t="e">
        <f>-SUMIFS(#REF!,#REF!,$A68,#REF!,D$2)</f>
        <v>#REF!</v>
      </c>
      <c r="E68" s="10" t="e">
        <f>-SUMIFS(#REF!,#REF!,$A68,#REF!,E$2)</f>
        <v>#REF!</v>
      </c>
      <c r="F68" s="10" t="e">
        <f>-SUMIFS(#REF!,#REF!,$A68,#REF!,F$2)</f>
        <v>#REF!</v>
      </c>
      <c r="G68" s="10" t="e">
        <f>-SUMIFS(#REF!,#REF!,$A68,#REF!,G$2)</f>
        <v>#REF!</v>
      </c>
      <c r="H68" s="10" t="e">
        <f>-SUMIFS(#REF!,#REF!,$A68,#REF!,H$2)</f>
        <v>#REF!</v>
      </c>
      <c r="I68" s="10" t="e">
        <f>-SUMIFS(#REF!,#REF!,$A68,#REF!,I$2)</f>
        <v>#REF!</v>
      </c>
      <c r="J68" s="10" t="e">
        <f>-SUMIFS(#REF!,#REF!,$A68,#REF!,J$2)</f>
        <v>#REF!</v>
      </c>
      <c r="K68" s="10" t="e">
        <f>-SUMIFS(#REF!,#REF!,$A68,#REF!,K$2)</f>
        <v>#REF!</v>
      </c>
      <c r="L68" s="10" t="e">
        <f>-SUMIFS(#REF!,#REF!,$A68,#REF!,L$2)</f>
        <v>#REF!</v>
      </c>
      <c r="M68" s="10" t="e">
        <f>-SUMIFS(#REF!,#REF!,$A68,#REF!,M$2)</f>
        <v>#REF!</v>
      </c>
      <c r="O68" s="10" t="e">
        <f t="shared" ref="O68:O70" si="13">SUM(B68:N68)</f>
        <v>#REF!</v>
      </c>
      <c r="P68" s="15" t="s">
        <v>299</v>
      </c>
    </row>
    <row r="69" spans="1:16" x14ac:dyDescent="0.25">
      <c r="A69" s="13" t="s">
        <v>146</v>
      </c>
      <c r="B69" s="10" t="e">
        <f>-SUMIFS(#REF!,#REF!,$A69,#REF!,B$2)</f>
        <v>#REF!</v>
      </c>
      <c r="C69" s="10" t="e">
        <f>-SUMIFS(#REF!,#REF!,$A69,#REF!,C$2)</f>
        <v>#REF!</v>
      </c>
      <c r="D69" s="10" t="e">
        <f>-SUMIFS(#REF!,#REF!,$A69,#REF!,D$2)</f>
        <v>#REF!</v>
      </c>
      <c r="E69" s="10" t="e">
        <f>-SUMIFS(#REF!,#REF!,$A69,#REF!,E$2)</f>
        <v>#REF!</v>
      </c>
      <c r="F69" s="10" t="e">
        <f>-SUMIFS(#REF!,#REF!,$A69,#REF!,F$2)</f>
        <v>#REF!</v>
      </c>
      <c r="G69" s="10" t="e">
        <f>-SUMIFS(#REF!,#REF!,$A69,#REF!,G$2)</f>
        <v>#REF!</v>
      </c>
      <c r="H69" s="10" t="e">
        <f>-SUMIFS(#REF!,#REF!,$A69,#REF!,H$2)</f>
        <v>#REF!</v>
      </c>
      <c r="I69" s="10" t="e">
        <f>-SUMIFS(#REF!,#REF!,$A69,#REF!,I$2)</f>
        <v>#REF!</v>
      </c>
      <c r="J69" s="10" t="e">
        <f>-SUMIFS(#REF!,#REF!,$A69,#REF!,J$2)</f>
        <v>#REF!</v>
      </c>
      <c r="K69" s="10" t="e">
        <f>-SUMIFS(#REF!,#REF!,$A69,#REF!,K$2)</f>
        <v>#REF!</v>
      </c>
      <c r="L69" s="10" t="e">
        <f>-SUMIFS(#REF!,#REF!,$A69,#REF!,L$2)</f>
        <v>#REF!</v>
      </c>
      <c r="M69" s="10" t="e">
        <f>-SUMIFS(#REF!,#REF!,$A69,#REF!,M$2)</f>
        <v>#REF!</v>
      </c>
      <c r="O69" s="10" t="e">
        <f t="shared" si="13"/>
        <v>#REF!</v>
      </c>
      <c r="P69" s="15" t="s">
        <v>299</v>
      </c>
    </row>
    <row r="70" spans="1:16" x14ac:dyDescent="0.25">
      <c r="A70" s="13" t="s">
        <v>147</v>
      </c>
      <c r="B70" s="10" t="e">
        <f>-SUMIFS(#REF!,#REF!,$A70,#REF!,B$2)</f>
        <v>#REF!</v>
      </c>
      <c r="C70" s="10" t="e">
        <f>-SUMIFS(#REF!,#REF!,$A70,#REF!,C$2)</f>
        <v>#REF!</v>
      </c>
      <c r="D70" s="10" t="e">
        <f>-SUMIFS(#REF!,#REF!,$A70,#REF!,D$2)</f>
        <v>#REF!</v>
      </c>
      <c r="E70" s="10" t="e">
        <f>-SUMIFS(#REF!,#REF!,$A70,#REF!,E$2)</f>
        <v>#REF!</v>
      </c>
      <c r="F70" s="10" t="e">
        <f>-SUMIFS(#REF!,#REF!,$A70,#REF!,F$2)</f>
        <v>#REF!</v>
      </c>
      <c r="G70" s="10" t="e">
        <f>-SUMIFS(#REF!,#REF!,$A70,#REF!,G$2)</f>
        <v>#REF!</v>
      </c>
      <c r="H70" s="10" t="e">
        <f>-SUMIFS(#REF!,#REF!,$A70,#REF!,H$2)</f>
        <v>#REF!</v>
      </c>
      <c r="I70" s="10" t="e">
        <f>-SUMIFS(#REF!,#REF!,$A70,#REF!,I$2)</f>
        <v>#REF!</v>
      </c>
      <c r="J70" s="10" t="e">
        <f>-SUMIFS(#REF!,#REF!,$A70,#REF!,J$2)</f>
        <v>#REF!</v>
      </c>
      <c r="K70" s="10" t="e">
        <f>-SUMIFS(#REF!,#REF!,$A70,#REF!,K$2)</f>
        <v>#REF!</v>
      </c>
      <c r="L70" s="10" t="e">
        <f>-SUMIFS(#REF!,#REF!,$A70,#REF!,L$2)</f>
        <v>#REF!</v>
      </c>
      <c r="M70" s="10" t="e">
        <f>-SUMIFS(#REF!,#REF!,$A70,#REF!,M$2)</f>
        <v>#REF!</v>
      </c>
      <c r="O70" s="10" t="e">
        <f t="shared" si="13"/>
        <v>#REF!</v>
      </c>
      <c r="P70" s="15" t="s">
        <v>299</v>
      </c>
    </row>
    <row r="71" spans="1:16" x14ac:dyDescent="0.25">
      <c r="A71" s="15" t="s">
        <v>267</v>
      </c>
      <c r="B71" s="16" t="e">
        <f t="shared" ref="B71:M71" si="14">SUM(B68:B70)</f>
        <v>#REF!</v>
      </c>
      <c r="C71" s="16" t="e">
        <f t="shared" si="14"/>
        <v>#REF!</v>
      </c>
      <c r="D71" s="16" t="e">
        <f t="shared" si="14"/>
        <v>#REF!</v>
      </c>
      <c r="E71" s="16" t="e">
        <f t="shared" si="14"/>
        <v>#REF!</v>
      </c>
      <c r="F71" s="16" t="e">
        <f t="shared" si="14"/>
        <v>#REF!</v>
      </c>
      <c r="G71" s="16" t="e">
        <f t="shared" si="14"/>
        <v>#REF!</v>
      </c>
      <c r="H71" s="16" t="e">
        <f t="shared" si="14"/>
        <v>#REF!</v>
      </c>
      <c r="I71" s="16" t="e">
        <f t="shared" si="14"/>
        <v>#REF!</v>
      </c>
      <c r="J71" s="16" t="e">
        <f t="shared" si="14"/>
        <v>#REF!</v>
      </c>
      <c r="K71" s="16" t="e">
        <f t="shared" si="14"/>
        <v>#REF!</v>
      </c>
      <c r="L71" s="16" t="e">
        <f t="shared" si="14"/>
        <v>#REF!</v>
      </c>
      <c r="M71" s="16" t="e">
        <f t="shared" si="14"/>
        <v>#REF!</v>
      </c>
      <c r="O71" s="16" t="e">
        <f>SUM(O68:O70)</f>
        <v>#REF!</v>
      </c>
      <c r="P71" s="15" t="s">
        <v>299</v>
      </c>
    </row>
    <row r="72" spans="1:16" x14ac:dyDescent="0.25">
      <c r="P72" s="33" t="s">
        <v>295</v>
      </c>
    </row>
    <row r="73" spans="1:16" x14ac:dyDescent="0.25">
      <c r="A73" s="8" t="s">
        <v>152</v>
      </c>
      <c r="P73" s="33" t="s">
        <v>295</v>
      </c>
    </row>
    <row r="74" spans="1:16" x14ac:dyDescent="0.25">
      <c r="A74" s="9" t="s">
        <v>153</v>
      </c>
      <c r="B74" s="10" t="e">
        <f>-SUMIFS(#REF!,#REF!,$A74,#REF!,B$2)</f>
        <v>#REF!</v>
      </c>
      <c r="C74" s="10" t="e">
        <f>-SUMIFS(#REF!,#REF!,$A74,#REF!,C$2)</f>
        <v>#REF!</v>
      </c>
      <c r="D74" s="10" t="e">
        <f>-SUMIFS(#REF!,#REF!,$A74,#REF!,D$2)</f>
        <v>#REF!</v>
      </c>
      <c r="E74" s="10" t="e">
        <f>-SUMIFS(#REF!,#REF!,$A74,#REF!,E$2)</f>
        <v>#REF!</v>
      </c>
      <c r="F74" s="10" t="e">
        <f>-SUMIFS(#REF!,#REF!,$A74,#REF!,F$2)</f>
        <v>#REF!</v>
      </c>
      <c r="G74" s="10" t="e">
        <f>-SUMIFS(#REF!,#REF!,$A74,#REF!,G$2)</f>
        <v>#REF!</v>
      </c>
      <c r="H74" s="10" t="e">
        <f>-SUMIFS(#REF!,#REF!,$A74,#REF!,H$2)</f>
        <v>#REF!</v>
      </c>
      <c r="I74" s="10" t="e">
        <f>-SUMIFS(#REF!,#REF!,$A74,#REF!,I$2)</f>
        <v>#REF!</v>
      </c>
      <c r="J74" s="10" t="e">
        <f>-SUMIFS(#REF!,#REF!,$A74,#REF!,J$2)</f>
        <v>#REF!</v>
      </c>
      <c r="K74" s="10" t="e">
        <f>-SUMIFS(#REF!,#REF!,$A74,#REF!,K$2)</f>
        <v>#REF!</v>
      </c>
      <c r="L74" s="10" t="e">
        <f>-SUMIFS(#REF!,#REF!,$A74,#REF!,L$2)</f>
        <v>#REF!</v>
      </c>
      <c r="M74" s="10" t="e">
        <f>-SUMIFS(#REF!,#REF!,$A74,#REF!,M$2)</f>
        <v>#REF!</v>
      </c>
      <c r="O74" s="10" t="e">
        <f t="shared" ref="O74:O80" si="15">SUM(B74:N74)</f>
        <v>#REF!</v>
      </c>
      <c r="P74" s="15" t="s">
        <v>300</v>
      </c>
    </row>
    <row r="75" spans="1:16" x14ac:dyDescent="0.25">
      <c r="A75" s="13" t="s">
        <v>154</v>
      </c>
      <c r="B75" s="10" t="e">
        <f>-SUMIFS(#REF!,#REF!,$A75,#REF!,B$2)</f>
        <v>#REF!</v>
      </c>
      <c r="C75" s="10" t="e">
        <f>-SUMIFS(#REF!,#REF!,$A75,#REF!,C$2)</f>
        <v>#REF!</v>
      </c>
      <c r="D75" s="10" t="e">
        <f>-SUMIFS(#REF!,#REF!,$A75,#REF!,D$2)</f>
        <v>#REF!</v>
      </c>
      <c r="E75" s="10" t="e">
        <f>-SUMIFS(#REF!,#REF!,$A75,#REF!,E$2)</f>
        <v>#REF!</v>
      </c>
      <c r="F75" s="10" t="e">
        <f>-SUMIFS(#REF!,#REF!,$A75,#REF!,F$2)</f>
        <v>#REF!</v>
      </c>
      <c r="G75" s="10" t="e">
        <f>-SUMIFS(#REF!,#REF!,$A75,#REF!,G$2)</f>
        <v>#REF!</v>
      </c>
      <c r="H75" s="10" t="e">
        <f>-SUMIFS(#REF!,#REF!,$A75,#REF!,H$2)</f>
        <v>#REF!</v>
      </c>
      <c r="I75" s="10" t="e">
        <f>-SUMIFS(#REF!,#REF!,$A75,#REF!,I$2)</f>
        <v>#REF!</v>
      </c>
      <c r="J75" s="10" t="e">
        <f>-SUMIFS(#REF!,#REF!,$A75,#REF!,J$2)</f>
        <v>#REF!</v>
      </c>
      <c r="K75" s="10" t="e">
        <f>-SUMIFS(#REF!,#REF!,$A75,#REF!,K$2)</f>
        <v>#REF!</v>
      </c>
      <c r="L75" s="10" t="e">
        <f>-SUMIFS(#REF!,#REF!,$A75,#REF!,L$2)</f>
        <v>#REF!</v>
      </c>
      <c r="M75" s="10" t="e">
        <f>-SUMIFS(#REF!,#REF!,$A75,#REF!,M$2)</f>
        <v>#REF!</v>
      </c>
      <c r="O75" s="10" t="e">
        <f t="shared" si="15"/>
        <v>#REF!</v>
      </c>
      <c r="P75" s="15" t="s">
        <v>300</v>
      </c>
    </row>
    <row r="76" spans="1:16" x14ac:dyDescent="0.25">
      <c r="A76" s="13" t="s">
        <v>155</v>
      </c>
      <c r="B76" s="10" t="e">
        <f>-SUMIFS(#REF!,#REF!,$A76,#REF!,B$2)</f>
        <v>#REF!</v>
      </c>
      <c r="C76" s="10" t="e">
        <f>-SUMIFS(#REF!,#REF!,$A76,#REF!,C$2)</f>
        <v>#REF!</v>
      </c>
      <c r="D76" s="10" t="e">
        <f>-SUMIFS(#REF!,#REF!,$A76,#REF!,D$2)</f>
        <v>#REF!</v>
      </c>
      <c r="E76" s="10" t="e">
        <f>-SUMIFS(#REF!,#REF!,$A76,#REF!,E$2)</f>
        <v>#REF!</v>
      </c>
      <c r="F76" s="10" t="e">
        <f>-SUMIFS(#REF!,#REF!,$A76,#REF!,F$2)</f>
        <v>#REF!</v>
      </c>
      <c r="G76" s="10" t="e">
        <f>-SUMIFS(#REF!,#REF!,$A76,#REF!,G$2)</f>
        <v>#REF!</v>
      </c>
      <c r="H76" s="10" t="e">
        <f>-SUMIFS(#REF!,#REF!,$A76,#REF!,H$2)</f>
        <v>#REF!</v>
      </c>
      <c r="I76" s="10" t="e">
        <f>-SUMIFS(#REF!,#REF!,$A76,#REF!,I$2)</f>
        <v>#REF!</v>
      </c>
      <c r="J76" s="10" t="e">
        <f>-SUMIFS(#REF!,#REF!,$A76,#REF!,J$2)</f>
        <v>#REF!</v>
      </c>
      <c r="K76" s="10" t="e">
        <f>-SUMIFS(#REF!,#REF!,$A76,#REF!,K$2)</f>
        <v>#REF!</v>
      </c>
      <c r="L76" s="10" t="e">
        <f>-SUMIFS(#REF!,#REF!,$A76,#REF!,L$2)</f>
        <v>#REF!</v>
      </c>
      <c r="M76" s="10" t="e">
        <f>-SUMIFS(#REF!,#REF!,$A76,#REF!,M$2)</f>
        <v>#REF!</v>
      </c>
      <c r="O76" s="10" t="e">
        <f t="shared" si="15"/>
        <v>#REF!</v>
      </c>
      <c r="P76" s="15" t="s">
        <v>300</v>
      </c>
    </row>
    <row r="77" spans="1:16" x14ac:dyDescent="0.25">
      <c r="A77" s="13" t="s">
        <v>156</v>
      </c>
      <c r="B77" s="10" t="e">
        <f>-SUMIFS(#REF!,#REF!,$A77,#REF!,B$2)</f>
        <v>#REF!</v>
      </c>
      <c r="C77" s="10" t="e">
        <f>-SUMIFS(#REF!,#REF!,$A77,#REF!,C$2)</f>
        <v>#REF!</v>
      </c>
      <c r="D77" s="10" t="e">
        <f>-SUMIFS(#REF!,#REF!,$A77,#REF!,D$2)</f>
        <v>#REF!</v>
      </c>
      <c r="E77" s="10" t="e">
        <f>-SUMIFS(#REF!,#REF!,$A77,#REF!,E$2)</f>
        <v>#REF!</v>
      </c>
      <c r="F77" s="10" t="e">
        <f>-SUMIFS(#REF!,#REF!,$A77,#REF!,F$2)</f>
        <v>#REF!</v>
      </c>
      <c r="G77" s="10" t="e">
        <f>-SUMIFS(#REF!,#REF!,$A77,#REF!,G$2)</f>
        <v>#REF!</v>
      </c>
      <c r="H77" s="10" t="e">
        <f>-SUMIFS(#REF!,#REF!,$A77,#REF!,H$2)</f>
        <v>#REF!</v>
      </c>
      <c r="I77" s="10" t="e">
        <f>-SUMIFS(#REF!,#REF!,$A77,#REF!,I$2)</f>
        <v>#REF!</v>
      </c>
      <c r="J77" s="10" t="e">
        <f>-SUMIFS(#REF!,#REF!,$A77,#REF!,J$2)</f>
        <v>#REF!</v>
      </c>
      <c r="K77" s="10" t="e">
        <f>-SUMIFS(#REF!,#REF!,$A77,#REF!,K$2)</f>
        <v>#REF!</v>
      </c>
      <c r="L77" s="10" t="e">
        <f>-SUMIFS(#REF!,#REF!,$A77,#REF!,L$2)</f>
        <v>#REF!</v>
      </c>
      <c r="M77" s="10" t="e">
        <f>-SUMIFS(#REF!,#REF!,$A77,#REF!,M$2)</f>
        <v>#REF!</v>
      </c>
      <c r="O77" s="10" t="e">
        <f t="shared" si="15"/>
        <v>#REF!</v>
      </c>
      <c r="P77" s="15" t="s">
        <v>300</v>
      </c>
    </row>
    <row r="78" spans="1:16" x14ac:dyDescent="0.25">
      <c r="A78" s="13" t="s">
        <v>157</v>
      </c>
      <c r="B78" s="10" t="e">
        <f>-SUMIFS(#REF!,#REF!,$A78,#REF!,B$2)</f>
        <v>#REF!</v>
      </c>
      <c r="C78" s="10" t="e">
        <f>-SUMIFS(#REF!,#REF!,$A78,#REF!,C$2)</f>
        <v>#REF!</v>
      </c>
      <c r="D78" s="10" t="e">
        <f>-SUMIFS(#REF!,#REF!,$A78,#REF!,D$2)</f>
        <v>#REF!</v>
      </c>
      <c r="E78" s="10" t="e">
        <f>-SUMIFS(#REF!,#REF!,$A78,#REF!,E$2)</f>
        <v>#REF!</v>
      </c>
      <c r="F78" s="10" t="e">
        <f>-SUMIFS(#REF!,#REF!,$A78,#REF!,F$2)</f>
        <v>#REF!</v>
      </c>
      <c r="G78" s="10" t="e">
        <f>-SUMIFS(#REF!,#REF!,$A78,#REF!,G$2)</f>
        <v>#REF!</v>
      </c>
      <c r="H78" s="10" t="e">
        <f>-SUMIFS(#REF!,#REF!,$A78,#REF!,H$2)</f>
        <v>#REF!</v>
      </c>
      <c r="I78" s="10" t="e">
        <f>-SUMIFS(#REF!,#REF!,$A78,#REF!,I$2)</f>
        <v>#REF!</v>
      </c>
      <c r="J78" s="10" t="e">
        <f>-SUMIFS(#REF!,#REF!,$A78,#REF!,J$2)</f>
        <v>#REF!</v>
      </c>
      <c r="K78" s="10" t="e">
        <f>-SUMIFS(#REF!,#REF!,$A78,#REF!,K$2)</f>
        <v>#REF!</v>
      </c>
      <c r="L78" s="10" t="e">
        <f>-SUMIFS(#REF!,#REF!,$A78,#REF!,L$2)</f>
        <v>#REF!</v>
      </c>
      <c r="M78" s="10" t="e">
        <f>-SUMIFS(#REF!,#REF!,$A78,#REF!,M$2)</f>
        <v>#REF!</v>
      </c>
      <c r="O78" s="10" t="e">
        <f t="shared" si="15"/>
        <v>#REF!</v>
      </c>
      <c r="P78" s="15" t="s">
        <v>300</v>
      </c>
    </row>
    <row r="79" spans="1:16" x14ac:dyDescent="0.25">
      <c r="A79" s="13" t="s">
        <v>158</v>
      </c>
      <c r="B79" s="10" t="e">
        <f>-SUMIFS(#REF!,#REF!,$A79,#REF!,B$2)</f>
        <v>#REF!</v>
      </c>
      <c r="C79" s="10" t="e">
        <f>-SUMIFS(#REF!,#REF!,$A79,#REF!,C$2)</f>
        <v>#REF!</v>
      </c>
      <c r="D79" s="10" t="e">
        <f>-SUMIFS(#REF!,#REF!,$A79,#REF!,D$2)</f>
        <v>#REF!</v>
      </c>
      <c r="E79" s="10" t="e">
        <f>-SUMIFS(#REF!,#REF!,$A79,#REF!,E$2)</f>
        <v>#REF!</v>
      </c>
      <c r="F79" s="10" t="e">
        <f>-SUMIFS(#REF!,#REF!,$A79,#REF!,F$2)</f>
        <v>#REF!</v>
      </c>
      <c r="G79" s="10" t="e">
        <f>-SUMIFS(#REF!,#REF!,$A79,#REF!,G$2)</f>
        <v>#REF!</v>
      </c>
      <c r="H79" s="10" t="e">
        <f>-SUMIFS(#REF!,#REF!,$A79,#REF!,H$2)</f>
        <v>#REF!</v>
      </c>
      <c r="I79" s="10" t="e">
        <f>-SUMIFS(#REF!,#REF!,$A79,#REF!,I$2)</f>
        <v>#REF!</v>
      </c>
      <c r="J79" s="10" t="e">
        <f>-SUMIFS(#REF!,#REF!,$A79,#REF!,J$2)</f>
        <v>#REF!</v>
      </c>
      <c r="K79" s="10" t="e">
        <f>-SUMIFS(#REF!,#REF!,$A79,#REF!,K$2)</f>
        <v>#REF!</v>
      </c>
      <c r="L79" s="10" t="e">
        <f>-SUMIFS(#REF!,#REF!,$A79,#REF!,L$2)</f>
        <v>#REF!</v>
      </c>
      <c r="M79" s="10" t="e">
        <f>-SUMIFS(#REF!,#REF!,$A79,#REF!,M$2)</f>
        <v>#REF!</v>
      </c>
      <c r="O79" s="10" t="e">
        <f t="shared" si="15"/>
        <v>#REF!</v>
      </c>
      <c r="P79" s="15" t="s">
        <v>300</v>
      </c>
    </row>
    <row r="80" spans="1:16" x14ac:dyDescent="0.25">
      <c r="A80" s="13" t="s">
        <v>159</v>
      </c>
      <c r="B80" s="10" t="e">
        <f>-SUMIFS(#REF!,#REF!,$A80,#REF!,B$2)</f>
        <v>#REF!</v>
      </c>
      <c r="C80" s="10" t="e">
        <f>-SUMIFS(#REF!,#REF!,$A80,#REF!,C$2)</f>
        <v>#REF!</v>
      </c>
      <c r="D80" s="10" t="e">
        <f>-SUMIFS(#REF!,#REF!,$A80,#REF!,D$2)</f>
        <v>#REF!</v>
      </c>
      <c r="E80" s="10" t="e">
        <f>-SUMIFS(#REF!,#REF!,$A80,#REF!,E$2)</f>
        <v>#REF!</v>
      </c>
      <c r="F80" s="10" t="e">
        <f>-SUMIFS(#REF!,#REF!,$A80,#REF!,F$2)</f>
        <v>#REF!</v>
      </c>
      <c r="G80" s="10" t="e">
        <f>-SUMIFS(#REF!,#REF!,$A80,#REF!,G$2)</f>
        <v>#REF!</v>
      </c>
      <c r="H80" s="10" t="e">
        <f>-SUMIFS(#REF!,#REF!,$A80,#REF!,H$2)</f>
        <v>#REF!</v>
      </c>
      <c r="I80" s="10" t="e">
        <f>-SUMIFS(#REF!,#REF!,$A80,#REF!,I$2)</f>
        <v>#REF!</v>
      </c>
      <c r="J80" s="10" t="e">
        <f>-SUMIFS(#REF!,#REF!,$A80,#REF!,J$2)</f>
        <v>#REF!</v>
      </c>
      <c r="K80" s="10" t="e">
        <f>-SUMIFS(#REF!,#REF!,$A80,#REF!,K$2)</f>
        <v>#REF!</v>
      </c>
      <c r="L80" s="10" t="e">
        <f>-SUMIFS(#REF!,#REF!,$A80,#REF!,L$2)</f>
        <v>#REF!</v>
      </c>
      <c r="M80" s="10" t="e">
        <f>-SUMIFS(#REF!,#REF!,$A80,#REF!,M$2)</f>
        <v>#REF!</v>
      </c>
      <c r="O80" s="10" t="e">
        <f t="shared" si="15"/>
        <v>#REF!</v>
      </c>
      <c r="P80" s="15" t="s">
        <v>300</v>
      </c>
    </row>
    <row r="81" spans="1:16" x14ac:dyDescent="0.25">
      <c r="A81" s="15" t="s">
        <v>269</v>
      </c>
      <c r="B81" s="16" t="e">
        <f>SUM(B74:B80)</f>
        <v>#REF!</v>
      </c>
      <c r="C81" s="16" t="e">
        <f t="shared" ref="C81:O81" si="16">SUM(C74:C80)</f>
        <v>#REF!</v>
      </c>
      <c r="D81" s="16" t="e">
        <f t="shared" si="16"/>
        <v>#REF!</v>
      </c>
      <c r="E81" s="16" t="e">
        <f t="shared" si="16"/>
        <v>#REF!</v>
      </c>
      <c r="F81" s="16" t="e">
        <f t="shared" si="16"/>
        <v>#REF!</v>
      </c>
      <c r="G81" s="16" t="e">
        <f t="shared" si="16"/>
        <v>#REF!</v>
      </c>
      <c r="H81" s="16" t="e">
        <f t="shared" si="16"/>
        <v>#REF!</v>
      </c>
      <c r="I81" s="16" t="e">
        <f t="shared" si="16"/>
        <v>#REF!</v>
      </c>
      <c r="J81" s="16" t="e">
        <f t="shared" si="16"/>
        <v>#REF!</v>
      </c>
      <c r="K81" s="16" t="e">
        <f t="shared" si="16"/>
        <v>#REF!</v>
      </c>
      <c r="L81" s="16" t="e">
        <f t="shared" si="16"/>
        <v>#REF!</v>
      </c>
      <c r="M81" s="16" t="e">
        <f t="shared" si="16"/>
        <v>#REF!</v>
      </c>
      <c r="O81" s="16" t="e">
        <f t="shared" si="16"/>
        <v>#REF!</v>
      </c>
      <c r="P81" s="15" t="s">
        <v>300</v>
      </c>
    </row>
    <row r="82" spans="1:16" x14ac:dyDescent="0.25">
      <c r="A82" s="8" t="s">
        <v>268</v>
      </c>
      <c r="P82" s="33" t="s">
        <v>295</v>
      </c>
    </row>
    <row r="83" spans="1:16" x14ac:dyDescent="0.25">
      <c r="A83" s="9" t="s">
        <v>284</v>
      </c>
      <c r="B83" s="10" t="e">
        <f>-SUMIFS(#REF!,#REF!,$A83,#REF!,B$2)</f>
        <v>#REF!</v>
      </c>
      <c r="C83" s="10" t="e">
        <f>-SUMIFS(#REF!,#REF!,$A83,#REF!,C$2)</f>
        <v>#REF!</v>
      </c>
      <c r="D83" s="10" t="e">
        <f>-SUMIFS(#REF!,#REF!,$A83,#REF!,D$2)</f>
        <v>#REF!</v>
      </c>
      <c r="E83" s="10" t="e">
        <f>-SUMIFS(#REF!,#REF!,$A83,#REF!,E$2)</f>
        <v>#REF!</v>
      </c>
      <c r="F83" s="10" t="e">
        <f>-SUMIFS(#REF!,#REF!,$A83,#REF!,F$2)</f>
        <v>#REF!</v>
      </c>
      <c r="G83" s="10" t="e">
        <f>-SUMIFS(#REF!,#REF!,$A83,#REF!,G$2)</f>
        <v>#REF!</v>
      </c>
      <c r="H83" s="10" t="e">
        <f>-SUMIFS(#REF!,#REF!,$A83,#REF!,H$2)</f>
        <v>#REF!</v>
      </c>
      <c r="I83" s="10" t="e">
        <f>-SUMIFS(#REF!,#REF!,$A83,#REF!,I$2)</f>
        <v>#REF!</v>
      </c>
      <c r="J83" s="10" t="e">
        <f>-SUMIFS(#REF!,#REF!,$A83,#REF!,J$2)</f>
        <v>#REF!</v>
      </c>
      <c r="K83" s="10" t="e">
        <f>-SUMIFS(#REF!,#REF!,$A83,#REF!,K$2)</f>
        <v>#REF!</v>
      </c>
      <c r="L83" s="10" t="e">
        <f>-SUMIFS(#REF!,#REF!,$A83,#REF!,L$2)</f>
        <v>#REF!</v>
      </c>
      <c r="M83" s="10" t="e">
        <f>-SUMIFS(#REF!,#REF!,$A83,#REF!,M$2)</f>
        <v>#REF!</v>
      </c>
      <c r="O83" s="10" t="e">
        <f t="shared" ref="O83:O87" si="17">SUM(B83:N83)</f>
        <v>#REF!</v>
      </c>
      <c r="P83" s="15" t="s">
        <v>301</v>
      </c>
    </row>
    <row r="84" spans="1:16" x14ac:dyDescent="0.25">
      <c r="A84" s="9" t="s">
        <v>160</v>
      </c>
      <c r="B84" s="10" t="e">
        <f>-SUMIFS(#REF!,#REF!,$A84,#REF!,B$2)</f>
        <v>#REF!</v>
      </c>
      <c r="C84" s="10" t="e">
        <f>-SUMIFS(#REF!,#REF!,$A84,#REF!,C$2)</f>
        <v>#REF!</v>
      </c>
      <c r="D84" s="10" t="e">
        <f>-SUMIFS(#REF!,#REF!,$A84,#REF!,D$2)</f>
        <v>#REF!</v>
      </c>
      <c r="E84" s="10" t="e">
        <f>-SUMIFS(#REF!,#REF!,$A84,#REF!,E$2)</f>
        <v>#REF!</v>
      </c>
      <c r="F84" s="10" t="e">
        <f>-SUMIFS(#REF!,#REF!,$A84,#REF!,F$2)</f>
        <v>#REF!</v>
      </c>
      <c r="G84" s="10" t="e">
        <f>-SUMIFS(#REF!,#REF!,$A84,#REF!,G$2)</f>
        <v>#REF!</v>
      </c>
      <c r="H84" s="10" t="e">
        <f>-SUMIFS(#REF!,#REF!,$A84,#REF!,H$2)</f>
        <v>#REF!</v>
      </c>
      <c r="I84" s="10" t="e">
        <f>-SUMIFS(#REF!,#REF!,$A84,#REF!,I$2)</f>
        <v>#REF!</v>
      </c>
      <c r="J84" s="10" t="e">
        <f>-SUMIFS(#REF!,#REF!,$A84,#REF!,J$2)</f>
        <v>#REF!</v>
      </c>
      <c r="K84" s="10" t="e">
        <f>-SUMIFS(#REF!,#REF!,$A84,#REF!,K$2)</f>
        <v>#REF!</v>
      </c>
      <c r="L84" s="10" t="e">
        <f>-SUMIFS(#REF!,#REF!,$A84,#REF!,L$2)</f>
        <v>#REF!</v>
      </c>
      <c r="M84" s="10" t="e">
        <f>-SUMIFS(#REF!,#REF!,$A84,#REF!,M$2)</f>
        <v>#REF!</v>
      </c>
      <c r="O84" s="10" t="e">
        <f t="shared" si="17"/>
        <v>#REF!</v>
      </c>
      <c r="P84" s="15" t="s">
        <v>301</v>
      </c>
    </row>
    <row r="85" spans="1:16" x14ac:dyDescent="0.25">
      <c r="A85" s="13" t="s">
        <v>162</v>
      </c>
      <c r="B85" s="10" t="e">
        <f>-SUMIFS(#REF!,#REF!,$A85,#REF!,B$2)</f>
        <v>#REF!</v>
      </c>
      <c r="C85" s="10" t="e">
        <f>-SUMIFS(#REF!,#REF!,$A85,#REF!,C$2)</f>
        <v>#REF!</v>
      </c>
      <c r="D85" s="10" t="e">
        <f>-SUMIFS(#REF!,#REF!,$A85,#REF!,D$2)</f>
        <v>#REF!</v>
      </c>
      <c r="E85" s="10" t="e">
        <f>-SUMIFS(#REF!,#REF!,$A85,#REF!,E$2)</f>
        <v>#REF!</v>
      </c>
      <c r="F85" s="10" t="e">
        <f>-SUMIFS(#REF!,#REF!,$A85,#REF!,F$2)</f>
        <v>#REF!</v>
      </c>
      <c r="G85" s="10" t="e">
        <f>-SUMIFS(#REF!,#REF!,$A85,#REF!,G$2)</f>
        <v>#REF!</v>
      </c>
      <c r="H85" s="10" t="e">
        <f>-SUMIFS(#REF!,#REF!,$A85,#REF!,H$2)</f>
        <v>#REF!</v>
      </c>
      <c r="I85" s="10" t="e">
        <f>-SUMIFS(#REF!,#REF!,$A85,#REF!,I$2)</f>
        <v>#REF!</v>
      </c>
      <c r="J85" s="10" t="e">
        <f>-SUMIFS(#REF!,#REF!,$A85,#REF!,J$2)</f>
        <v>#REF!</v>
      </c>
      <c r="K85" s="10" t="e">
        <f>-SUMIFS(#REF!,#REF!,$A85,#REF!,K$2)</f>
        <v>#REF!</v>
      </c>
      <c r="L85" s="10" t="e">
        <f>-SUMIFS(#REF!,#REF!,$A85,#REF!,L$2)</f>
        <v>#REF!</v>
      </c>
      <c r="M85" s="10" t="e">
        <f>-SUMIFS(#REF!,#REF!,$A85,#REF!,M$2)</f>
        <v>#REF!</v>
      </c>
      <c r="O85" s="10" t="e">
        <f t="shared" si="17"/>
        <v>#REF!</v>
      </c>
      <c r="P85" s="15" t="s">
        <v>301</v>
      </c>
    </row>
    <row r="86" spans="1:16" x14ac:dyDescent="0.25">
      <c r="A86" s="13" t="s">
        <v>163</v>
      </c>
      <c r="B86" s="10" t="e">
        <f>-SUMIFS(#REF!,#REF!,$A86,#REF!,B$2)</f>
        <v>#REF!</v>
      </c>
      <c r="C86" s="10" t="e">
        <f>-SUMIFS(#REF!,#REF!,$A86,#REF!,C$2)</f>
        <v>#REF!</v>
      </c>
      <c r="D86" s="10" t="e">
        <f>-SUMIFS(#REF!,#REF!,$A86,#REF!,D$2)</f>
        <v>#REF!</v>
      </c>
      <c r="E86" s="10" t="e">
        <f>-SUMIFS(#REF!,#REF!,$A86,#REF!,E$2)</f>
        <v>#REF!</v>
      </c>
      <c r="F86" s="10" t="e">
        <f>-SUMIFS(#REF!,#REF!,$A86,#REF!,F$2)</f>
        <v>#REF!</v>
      </c>
      <c r="G86" s="10" t="e">
        <f>-SUMIFS(#REF!,#REF!,$A86,#REF!,G$2)</f>
        <v>#REF!</v>
      </c>
      <c r="H86" s="10" t="e">
        <f>-SUMIFS(#REF!,#REF!,$A86,#REF!,H$2)</f>
        <v>#REF!</v>
      </c>
      <c r="I86" s="10" t="e">
        <f>-SUMIFS(#REF!,#REF!,$A86,#REF!,I$2)</f>
        <v>#REF!</v>
      </c>
      <c r="J86" s="10" t="e">
        <f>-SUMIFS(#REF!,#REF!,$A86,#REF!,J$2)</f>
        <v>#REF!</v>
      </c>
      <c r="K86" s="10" t="e">
        <f>-SUMIFS(#REF!,#REF!,$A86,#REF!,K$2)</f>
        <v>#REF!</v>
      </c>
      <c r="L86" s="10" t="e">
        <f>-SUMIFS(#REF!,#REF!,$A86,#REF!,L$2)</f>
        <v>#REF!</v>
      </c>
      <c r="M86" s="10" t="e">
        <f>-SUMIFS(#REF!,#REF!,$A86,#REF!,M$2)</f>
        <v>#REF!</v>
      </c>
      <c r="O86" s="10" t="e">
        <f t="shared" si="17"/>
        <v>#REF!</v>
      </c>
      <c r="P86" s="15" t="s">
        <v>301</v>
      </c>
    </row>
    <row r="87" spans="1:16" x14ac:dyDescent="0.25">
      <c r="A87" s="13" t="s">
        <v>164</v>
      </c>
      <c r="B87" s="10" t="e">
        <f>-SUMIFS(#REF!,#REF!,$A87,#REF!,B$2)</f>
        <v>#REF!</v>
      </c>
      <c r="C87" s="10" t="e">
        <f>-SUMIFS(#REF!,#REF!,$A87,#REF!,C$2)</f>
        <v>#REF!</v>
      </c>
      <c r="D87" s="10" t="e">
        <f>-SUMIFS(#REF!,#REF!,$A87,#REF!,D$2)</f>
        <v>#REF!</v>
      </c>
      <c r="E87" s="10" t="e">
        <f>-SUMIFS(#REF!,#REF!,$A87,#REF!,E$2)</f>
        <v>#REF!</v>
      </c>
      <c r="F87" s="10" t="e">
        <f>-SUMIFS(#REF!,#REF!,$A87,#REF!,F$2)</f>
        <v>#REF!</v>
      </c>
      <c r="G87" s="10" t="e">
        <f>-SUMIFS(#REF!,#REF!,$A87,#REF!,G$2)</f>
        <v>#REF!</v>
      </c>
      <c r="H87" s="10" t="e">
        <f>-SUMIFS(#REF!,#REF!,$A87,#REF!,H$2)</f>
        <v>#REF!</v>
      </c>
      <c r="I87" s="10" t="e">
        <f>-SUMIFS(#REF!,#REF!,$A87,#REF!,I$2)</f>
        <v>#REF!</v>
      </c>
      <c r="J87" s="10" t="e">
        <f>-SUMIFS(#REF!,#REF!,$A87,#REF!,J$2)</f>
        <v>#REF!</v>
      </c>
      <c r="K87" s="10" t="e">
        <f>-SUMIFS(#REF!,#REF!,$A87,#REF!,K$2)</f>
        <v>#REF!</v>
      </c>
      <c r="L87" s="10" t="e">
        <f>-SUMIFS(#REF!,#REF!,$A87,#REF!,L$2)</f>
        <v>#REF!</v>
      </c>
      <c r="M87" s="10" t="e">
        <f>-SUMIFS(#REF!,#REF!,$A87,#REF!,M$2)</f>
        <v>#REF!</v>
      </c>
      <c r="O87" s="10" t="e">
        <f t="shared" si="17"/>
        <v>#REF!</v>
      </c>
      <c r="P87" s="15" t="s">
        <v>301</v>
      </c>
    </row>
    <row r="88" spans="1:16" x14ac:dyDescent="0.25">
      <c r="A88" s="15" t="s">
        <v>270</v>
      </c>
      <c r="B88" s="16" t="e">
        <f t="shared" ref="B88:M88" si="18">SUM(B83:B87)</f>
        <v>#REF!</v>
      </c>
      <c r="C88" s="16" t="e">
        <f t="shared" si="18"/>
        <v>#REF!</v>
      </c>
      <c r="D88" s="16" t="e">
        <f t="shared" si="18"/>
        <v>#REF!</v>
      </c>
      <c r="E88" s="16" t="e">
        <f t="shared" si="18"/>
        <v>#REF!</v>
      </c>
      <c r="F88" s="16" t="e">
        <f t="shared" si="18"/>
        <v>#REF!</v>
      </c>
      <c r="G88" s="16" t="e">
        <f t="shared" si="18"/>
        <v>#REF!</v>
      </c>
      <c r="H88" s="16" t="e">
        <f t="shared" si="18"/>
        <v>#REF!</v>
      </c>
      <c r="I88" s="16" t="e">
        <f t="shared" si="18"/>
        <v>#REF!</v>
      </c>
      <c r="J88" s="16" t="e">
        <f t="shared" si="18"/>
        <v>#REF!</v>
      </c>
      <c r="K88" s="16" t="e">
        <f t="shared" si="18"/>
        <v>#REF!</v>
      </c>
      <c r="L88" s="16" t="e">
        <f t="shared" si="18"/>
        <v>#REF!</v>
      </c>
      <c r="M88" s="16" t="e">
        <f t="shared" si="18"/>
        <v>#REF!</v>
      </c>
      <c r="O88" s="16" t="e">
        <f>SUM(O83:O87)</f>
        <v>#REF!</v>
      </c>
      <c r="P88" s="15" t="s">
        <v>301</v>
      </c>
    </row>
    <row r="89" spans="1:16" x14ac:dyDescent="0.25">
      <c r="P89" s="33" t="s">
        <v>295</v>
      </c>
    </row>
    <row r="90" spans="1:16" x14ac:dyDescent="0.25">
      <c r="A90" s="8" t="s">
        <v>54</v>
      </c>
      <c r="P90" s="33" t="s">
        <v>295</v>
      </c>
    </row>
    <row r="91" spans="1:16" x14ac:dyDescent="0.25">
      <c r="A91" s="13" t="s">
        <v>167</v>
      </c>
      <c r="B91" s="10" t="e">
        <f>-SUMIFS(#REF!,#REF!,$A91,#REF!,B$2)</f>
        <v>#REF!</v>
      </c>
      <c r="C91" s="10" t="e">
        <f>-SUMIFS(#REF!,#REF!,$A91,#REF!,C$2)</f>
        <v>#REF!</v>
      </c>
      <c r="D91" s="10" t="e">
        <f>-SUMIFS(#REF!,#REF!,$A91,#REF!,D$2)</f>
        <v>#REF!</v>
      </c>
      <c r="E91" s="10" t="e">
        <f>-SUMIFS(#REF!,#REF!,$A91,#REF!,E$2)</f>
        <v>#REF!</v>
      </c>
      <c r="F91" s="10" t="e">
        <f>-SUMIFS(#REF!,#REF!,$A91,#REF!,F$2)</f>
        <v>#REF!</v>
      </c>
      <c r="G91" s="10" t="e">
        <f>-SUMIFS(#REF!,#REF!,$A91,#REF!,G$2)</f>
        <v>#REF!</v>
      </c>
      <c r="H91" s="10" t="e">
        <f>-SUMIFS(#REF!,#REF!,$A91,#REF!,H$2)</f>
        <v>#REF!</v>
      </c>
      <c r="I91" s="10" t="e">
        <f>-SUMIFS(#REF!,#REF!,$A91,#REF!,I$2)</f>
        <v>#REF!</v>
      </c>
      <c r="J91" s="10" t="e">
        <f>-SUMIFS(#REF!,#REF!,$A91,#REF!,J$2)</f>
        <v>#REF!</v>
      </c>
      <c r="K91" s="10" t="e">
        <f>-SUMIFS(#REF!,#REF!,$A91,#REF!,K$2)</f>
        <v>#REF!</v>
      </c>
      <c r="L91" s="10" t="e">
        <f>-SUMIFS(#REF!,#REF!,$A91,#REF!,L$2)</f>
        <v>#REF!</v>
      </c>
      <c r="M91" s="10" t="e">
        <f>-SUMIFS(#REF!,#REF!,$A91,#REF!,M$2)</f>
        <v>#REF!</v>
      </c>
      <c r="O91" s="10" t="e">
        <f t="shared" ref="O91:O105" si="19">SUM(B91:N91)</f>
        <v>#REF!</v>
      </c>
      <c r="P91" s="15" t="s">
        <v>302</v>
      </c>
    </row>
    <row r="92" spans="1:16" x14ac:dyDescent="0.25">
      <c r="A92" s="13" t="s">
        <v>169</v>
      </c>
      <c r="B92" s="10" t="e">
        <f>-SUMIFS(#REF!,#REF!,$A92,#REF!,B$2)</f>
        <v>#REF!</v>
      </c>
      <c r="C92" s="10" t="e">
        <f>-SUMIFS(#REF!,#REF!,$A92,#REF!,C$2)</f>
        <v>#REF!</v>
      </c>
      <c r="D92" s="10" t="e">
        <f>-SUMIFS(#REF!,#REF!,$A92,#REF!,D$2)</f>
        <v>#REF!</v>
      </c>
      <c r="E92" s="10" t="e">
        <f>-SUMIFS(#REF!,#REF!,$A92,#REF!,E$2)</f>
        <v>#REF!</v>
      </c>
      <c r="F92" s="10" t="e">
        <f>-SUMIFS(#REF!,#REF!,$A92,#REF!,F$2)</f>
        <v>#REF!</v>
      </c>
      <c r="G92" s="10" t="e">
        <f>-SUMIFS(#REF!,#REF!,$A92,#REF!,G$2)</f>
        <v>#REF!</v>
      </c>
      <c r="H92" s="10" t="e">
        <f>-SUMIFS(#REF!,#REF!,$A92,#REF!,H$2)</f>
        <v>#REF!</v>
      </c>
      <c r="I92" s="10" t="e">
        <f>-SUMIFS(#REF!,#REF!,$A92,#REF!,I$2)</f>
        <v>#REF!</v>
      </c>
      <c r="J92" s="10" t="e">
        <f>-SUMIFS(#REF!,#REF!,$A92,#REF!,J$2)</f>
        <v>#REF!</v>
      </c>
      <c r="K92" s="10" t="e">
        <f>-SUMIFS(#REF!,#REF!,$A92,#REF!,K$2)</f>
        <v>#REF!</v>
      </c>
      <c r="L92" s="10" t="e">
        <f>-SUMIFS(#REF!,#REF!,$A92,#REF!,L$2)</f>
        <v>#REF!</v>
      </c>
      <c r="M92" s="10" t="e">
        <f>-SUMIFS(#REF!,#REF!,$A92,#REF!,M$2)</f>
        <v>#REF!</v>
      </c>
      <c r="O92" s="10" t="e">
        <f t="shared" si="19"/>
        <v>#REF!</v>
      </c>
      <c r="P92" s="15" t="s">
        <v>302</v>
      </c>
    </row>
    <row r="93" spans="1:16" x14ac:dyDescent="0.25">
      <c r="A93" s="13" t="s">
        <v>170</v>
      </c>
      <c r="B93" s="10" t="e">
        <f>-SUMIFS(#REF!,#REF!,$A93,#REF!,B$2)</f>
        <v>#REF!</v>
      </c>
      <c r="C93" s="10" t="e">
        <f>-SUMIFS(#REF!,#REF!,$A93,#REF!,C$2)</f>
        <v>#REF!</v>
      </c>
      <c r="D93" s="10" t="e">
        <f>-SUMIFS(#REF!,#REF!,$A93,#REF!,D$2)</f>
        <v>#REF!</v>
      </c>
      <c r="E93" s="10" t="e">
        <f>-SUMIFS(#REF!,#REF!,$A93,#REF!,E$2)</f>
        <v>#REF!</v>
      </c>
      <c r="F93" s="10" t="e">
        <f>-SUMIFS(#REF!,#REF!,$A93,#REF!,F$2)</f>
        <v>#REF!</v>
      </c>
      <c r="G93" s="10" t="e">
        <f>-SUMIFS(#REF!,#REF!,$A93,#REF!,G$2)</f>
        <v>#REF!</v>
      </c>
      <c r="H93" s="10" t="e">
        <f>-SUMIFS(#REF!,#REF!,$A93,#REF!,H$2)</f>
        <v>#REF!</v>
      </c>
      <c r="I93" s="10" t="e">
        <f>-SUMIFS(#REF!,#REF!,$A93,#REF!,I$2)</f>
        <v>#REF!</v>
      </c>
      <c r="J93" s="10" t="e">
        <f>-SUMIFS(#REF!,#REF!,$A93,#REF!,J$2)</f>
        <v>#REF!</v>
      </c>
      <c r="K93" s="10" t="e">
        <f>-SUMIFS(#REF!,#REF!,$A93,#REF!,K$2)</f>
        <v>#REF!</v>
      </c>
      <c r="L93" s="10" t="e">
        <f>-SUMIFS(#REF!,#REF!,$A93,#REF!,L$2)</f>
        <v>#REF!</v>
      </c>
      <c r="M93" s="10" t="e">
        <f>-SUMIFS(#REF!,#REF!,$A93,#REF!,M$2)</f>
        <v>#REF!</v>
      </c>
      <c r="O93" s="10" t="e">
        <f t="shared" si="19"/>
        <v>#REF!</v>
      </c>
      <c r="P93" s="15" t="s">
        <v>302</v>
      </c>
    </row>
    <row r="94" spans="1:16" x14ac:dyDescent="0.25">
      <c r="A94" s="13" t="s">
        <v>171</v>
      </c>
      <c r="B94" s="10" t="e">
        <f>-SUMIFS(#REF!,#REF!,$A94,#REF!,B$2)</f>
        <v>#REF!</v>
      </c>
      <c r="C94" s="10" t="e">
        <f>-SUMIFS(#REF!,#REF!,$A94,#REF!,C$2)</f>
        <v>#REF!</v>
      </c>
      <c r="D94" s="10" t="e">
        <f>-SUMIFS(#REF!,#REF!,$A94,#REF!,D$2)</f>
        <v>#REF!</v>
      </c>
      <c r="E94" s="10" t="e">
        <f>-SUMIFS(#REF!,#REF!,$A94,#REF!,E$2)</f>
        <v>#REF!</v>
      </c>
      <c r="F94" s="10" t="e">
        <f>-SUMIFS(#REF!,#REF!,$A94,#REF!,F$2)</f>
        <v>#REF!</v>
      </c>
      <c r="G94" s="10" t="e">
        <f>-SUMIFS(#REF!,#REF!,$A94,#REF!,G$2)</f>
        <v>#REF!</v>
      </c>
      <c r="H94" s="10" t="e">
        <f>-SUMIFS(#REF!,#REF!,$A94,#REF!,H$2)</f>
        <v>#REF!</v>
      </c>
      <c r="I94" s="10" t="e">
        <f>-SUMIFS(#REF!,#REF!,$A94,#REF!,I$2)</f>
        <v>#REF!</v>
      </c>
      <c r="J94" s="10" t="e">
        <f>-SUMIFS(#REF!,#REF!,$A94,#REF!,J$2)</f>
        <v>#REF!</v>
      </c>
      <c r="K94" s="10" t="e">
        <f>-SUMIFS(#REF!,#REF!,$A94,#REF!,K$2)</f>
        <v>#REF!</v>
      </c>
      <c r="L94" s="10" t="e">
        <f>-SUMIFS(#REF!,#REF!,$A94,#REF!,L$2)</f>
        <v>#REF!</v>
      </c>
      <c r="M94" s="10" t="e">
        <f>-SUMIFS(#REF!,#REF!,$A94,#REF!,M$2)</f>
        <v>#REF!</v>
      </c>
      <c r="O94" s="10" t="e">
        <f t="shared" si="19"/>
        <v>#REF!</v>
      </c>
      <c r="P94" s="15" t="s">
        <v>302</v>
      </c>
    </row>
    <row r="95" spans="1:16" x14ac:dyDescent="0.25">
      <c r="A95" s="13" t="s">
        <v>172</v>
      </c>
      <c r="B95" s="10" t="e">
        <f>-SUMIFS(#REF!,#REF!,$A95,#REF!,B$2)</f>
        <v>#REF!</v>
      </c>
      <c r="C95" s="10" t="e">
        <f>-SUMIFS(#REF!,#REF!,$A95,#REF!,C$2)</f>
        <v>#REF!</v>
      </c>
      <c r="D95" s="10" t="e">
        <f>-SUMIFS(#REF!,#REF!,$A95,#REF!,D$2)</f>
        <v>#REF!</v>
      </c>
      <c r="E95" s="10" t="e">
        <f>-SUMIFS(#REF!,#REF!,$A95,#REF!,E$2)</f>
        <v>#REF!</v>
      </c>
      <c r="F95" s="10" t="e">
        <f>-SUMIFS(#REF!,#REF!,$A95,#REF!,F$2)</f>
        <v>#REF!</v>
      </c>
      <c r="G95" s="10" t="e">
        <f>-SUMIFS(#REF!,#REF!,$A95,#REF!,G$2)</f>
        <v>#REF!</v>
      </c>
      <c r="H95" s="10" t="e">
        <f>-SUMIFS(#REF!,#REF!,$A95,#REF!,H$2)</f>
        <v>#REF!</v>
      </c>
      <c r="I95" s="10" t="e">
        <f>-SUMIFS(#REF!,#REF!,$A95,#REF!,I$2)</f>
        <v>#REF!</v>
      </c>
      <c r="J95" s="10" t="e">
        <f>-SUMIFS(#REF!,#REF!,$A95,#REF!,J$2)</f>
        <v>#REF!</v>
      </c>
      <c r="K95" s="10" t="e">
        <f>-SUMIFS(#REF!,#REF!,$A95,#REF!,K$2)</f>
        <v>#REF!</v>
      </c>
      <c r="L95" s="10" t="e">
        <f>-SUMIFS(#REF!,#REF!,$A95,#REF!,L$2)</f>
        <v>#REF!</v>
      </c>
      <c r="M95" s="10" t="e">
        <f>-SUMIFS(#REF!,#REF!,$A95,#REF!,M$2)</f>
        <v>#REF!</v>
      </c>
      <c r="O95" s="10" t="e">
        <f t="shared" si="19"/>
        <v>#REF!</v>
      </c>
      <c r="P95" s="15" t="s">
        <v>302</v>
      </c>
    </row>
    <row r="96" spans="1:16" x14ac:dyDescent="0.25">
      <c r="A96" s="13" t="s">
        <v>174</v>
      </c>
      <c r="B96" s="10" t="e">
        <f>-SUMIFS(#REF!,#REF!,$A96,#REF!,B$2)</f>
        <v>#REF!</v>
      </c>
      <c r="C96" s="10" t="e">
        <f>-SUMIFS(#REF!,#REF!,$A96,#REF!,C$2)</f>
        <v>#REF!</v>
      </c>
      <c r="D96" s="10" t="e">
        <f>-SUMIFS(#REF!,#REF!,$A96,#REF!,D$2)</f>
        <v>#REF!</v>
      </c>
      <c r="E96" s="10" t="e">
        <f>-SUMIFS(#REF!,#REF!,$A96,#REF!,E$2)</f>
        <v>#REF!</v>
      </c>
      <c r="F96" s="10" t="e">
        <f>-SUMIFS(#REF!,#REF!,$A96,#REF!,F$2)</f>
        <v>#REF!</v>
      </c>
      <c r="G96" s="10" t="e">
        <f>-SUMIFS(#REF!,#REF!,$A96,#REF!,G$2)</f>
        <v>#REF!</v>
      </c>
      <c r="H96" s="10" t="e">
        <f>-SUMIFS(#REF!,#REF!,$A96,#REF!,H$2)</f>
        <v>#REF!</v>
      </c>
      <c r="I96" s="10" t="e">
        <f>-SUMIFS(#REF!,#REF!,$A96,#REF!,I$2)</f>
        <v>#REF!</v>
      </c>
      <c r="J96" s="10" t="e">
        <f>-SUMIFS(#REF!,#REF!,$A96,#REF!,J$2)</f>
        <v>#REF!</v>
      </c>
      <c r="K96" s="10" t="e">
        <f>-SUMIFS(#REF!,#REF!,$A96,#REF!,K$2)</f>
        <v>#REF!</v>
      </c>
      <c r="L96" s="10" t="e">
        <f>-SUMIFS(#REF!,#REF!,$A96,#REF!,L$2)</f>
        <v>#REF!</v>
      </c>
      <c r="M96" s="10" t="e">
        <f>-SUMIFS(#REF!,#REF!,$A96,#REF!,M$2)</f>
        <v>#REF!</v>
      </c>
      <c r="O96" s="10" t="e">
        <f t="shared" si="19"/>
        <v>#REF!</v>
      </c>
      <c r="P96" s="15" t="s">
        <v>302</v>
      </c>
    </row>
    <row r="97" spans="1:16" x14ac:dyDescent="0.25">
      <c r="A97" s="13" t="s">
        <v>175</v>
      </c>
      <c r="B97" s="10" t="e">
        <f>-SUMIFS(#REF!,#REF!,$A97,#REF!,B$2)</f>
        <v>#REF!</v>
      </c>
      <c r="C97" s="10" t="e">
        <f>-SUMIFS(#REF!,#REF!,$A97,#REF!,C$2)</f>
        <v>#REF!</v>
      </c>
      <c r="D97" s="10" t="e">
        <f>-SUMIFS(#REF!,#REF!,$A97,#REF!,D$2)</f>
        <v>#REF!</v>
      </c>
      <c r="E97" s="10" t="e">
        <f>-SUMIFS(#REF!,#REF!,$A97,#REF!,E$2)</f>
        <v>#REF!</v>
      </c>
      <c r="F97" s="10" t="e">
        <f>-SUMIFS(#REF!,#REF!,$A97,#REF!,F$2)</f>
        <v>#REF!</v>
      </c>
      <c r="G97" s="10" t="e">
        <f>-SUMIFS(#REF!,#REF!,$A97,#REF!,G$2)</f>
        <v>#REF!</v>
      </c>
      <c r="H97" s="10" t="e">
        <f>-SUMIFS(#REF!,#REF!,$A97,#REF!,H$2)</f>
        <v>#REF!</v>
      </c>
      <c r="I97" s="10" t="e">
        <f>-SUMIFS(#REF!,#REF!,$A97,#REF!,I$2)</f>
        <v>#REF!</v>
      </c>
      <c r="J97" s="10" t="e">
        <f>-SUMIFS(#REF!,#REF!,$A97,#REF!,J$2)</f>
        <v>#REF!</v>
      </c>
      <c r="K97" s="10" t="e">
        <f>-SUMIFS(#REF!,#REF!,$A97,#REF!,K$2)</f>
        <v>#REF!</v>
      </c>
      <c r="L97" s="10" t="e">
        <f>-SUMIFS(#REF!,#REF!,$A97,#REF!,L$2)</f>
        <v>#REF!</v>
      </c>
      <c r="M97" s="10" t="e">
        <f>-SUMIFS(#REF!,#REF!,$A97,#REF!,M$2)</f>
        <v>#REF!</v>
      </c>
      <c r="O97" s="10" t="e">
        <f t="shared" si="19"/>
        <v>#REF!</v>
      </c>
      <c r="P97" s="15" t="s">
        <v>302</v>
      </c>
    </row>
    <row r="98" spans="1:16" x14ac:dyDescent="0.25">
      <c r="A98" s="13" t="s">
        <v>176</v>
      </c>
      <c r="B98" s="10" t="e">
        <f>-SUMIFS(#REF!,#REF!,$A98,#REF!,B$2)</f>
        <v>#REF!</v>
      </c>
      <c r="C98" s="10" t="e">
        <f>-SUMIFS(#REF!,#REF!,$A98,#REF!,C$2)</f>
        <v>#REF!</v>
      </c>
      <c r="D98" s="10" t="e">
        <f>-SUMIFS(#REF!,#REF!,$A98,#REF!,D$2)</f>
        <v>#REF!</v>
      </c>
      <c r="E98" s="10" t="e">
        <f>-SUMIFS(#REF!,#REF!,$A98,#REF!,E$2)</f>
        <v>#REF!</v>
      </c>
      <c r="F98" s="10" t="e">
        <f>-SUMIFS(#REF!,#REF!,$A98,#REF!,F$2)</f>
        <v>#REF!</v>
      </c>
      <c r="G98" s="10" t="e">
        <f>-SUMIFS(#REF!,#REF!,$A98,#REF!,G$2)</f>
        <v>#REF!</v>
      </c>
      <c r="H98" s="10" t="e">
        <f>-SUMIFS(#REF!,#REF!,$A98,#REF!,H$2)</f>
        <v>#REF!</v>
      </c>
      <c r="I98" s="10" t="e">
        <f>-SUMIFS(#REF!,#REF!,$A98,#REF!,I$2)</f>
        <v>#REF!</v>
      </c>
      <c r="J98" s="10" t="e">
        <f>-SUMIFS(#REF!,#REF!,$A98,#REF!,J$2)</f>
        <v>#REF!</v>
      </c>
      <c r="K98" s="10" t="e">
        <f>-SUMIFS(#REF!,#REF!,$A98,#REF!,K$2)</f>
        <v>#REF!</v>
      </c>
      <c r="L98" s="10" t="e">
        <f>-SUMIFS(#REF!,#REF!,$A98,#REF!,L$2)</f>
        <v>#REF!</v>
      </c>
      <c r="M98" s="10" t="e">
        <f>-SUMIFS(#REF!,#REF!,$A98,#REF!,M$2)</f>
        <v>#REF!</v>
      </c>
      <c r="O98" s="10" t="e">
        <f t="shared" si="19"/>
        <v>#REF!</v>
      </c>
      <c r="P98" s="15" t="s">
        <v>302</v>
      </c>
    </row>
    <row r="99" spans="1:16" x14ac:dyDescent="0.25">
      <c r="A99" s="13" t="s">
        <v>177</v>
      </c>
      <c r="B99" s="10" t="e">
        <f>-SUMIFS(#REF!,#REF!,$A99,#REF!,B$2)</f>
        <v>#REF!</v>
      </c>
      <c r="C99" s="10" t="e">
        <f>-SUMIFS(#REF!,#REF!,$A99,#REF!,C$2)</f>
        <v>#REF!</v>
      </c>
      <c r="D99" s="10" t="e">
        <f>-SUMIFS(#REF!,#REF!,$A99,#REF!,D$2)</f>
        <v>#REF!</v>
      </c>
      <c r="E99" s="10" t="e">
        <f>-SUMIFS(#REF!,#REF!,$A99,#REF!,E$2)</f>
        <v>#REF!</v>
      </c>
      <c r="F99" s="10" t="e">
        <f>-SUMIFS(#REF!,#REF!,$A99,#REF!,F$2)</f>
        <v>#REF!</v>
      </c>
      <c r="G99" s="10" t="e">
        <f>-SUMIFS(#REF!,#REF!,$A99,#REF!,G$2)</f>
        <v>#REF!</v>
      </c>
      <c r="H99" s="10" t="e">
        <f>-SUMIFS(#REF!,#REF!,$A99,#REF!,H$2)</f>
        <v>#REF!</v>
      </c>
      <c r="I99" s="10" t="e">
        <f>-SUMIFS(#REF!,#REF!,$A99,#REF!,I$2)</f>
        <v>#REF!</v>
      </c>
      <c r="J99" s="10" t="e">
        <f>-SUMIFS(#REF!,#REF!,$A99,#REF!,J$2)</f>
        <v>#REF!</v>
      </c>
      <c r="K99" s="10" t="e">
        <f>-SUMIFS(#REF!,#REF!,$A99,#REF!,K$2)</f>
        <v>#REF!</v>
      </c>
      <c r="L99" s="10" t="e">
        <f>-SUMIFS(#REF!,#REF!,$A99,#REF!,L$2)</f>
        <v>#REF!</v>
      </c>
      <c r="M99" s="10" t="e">
        <f>-SUMIFS(#REF!,#REF!,$A99,#REF!,M$2)</f>
        <v>#REF!</v>
      </c>
      <c r="O99" s="10" t="e">
        <f t="shared" si="19"/>
        <v>#REF!</v>
      </c>
      <c r="P99" s="15" t="s">
        <v>302</v>
      </c>
    </row>
    <row r="100" spans="1:16" x14ac:dyDescent="0.25">
      <c r="A100" s="13" t="s">
        <v>178</v>
      </c>
      <c r="B100" s="10" t="e">
        <f>-SUMIFS(#REF!,#REF!,$A100,#REF!,B$2)</f>
        <v>#REF!</v>
      </c>
      <c r="C100" s="10" t="e">
        <f>-SUMIFS(#REF!,#REF!,$A100,#REF!,C$2)</f>
        <v>#REF!</v>
      </c>
      <c r="D100" s="10" t="e">
        <f>-SUMIFS(#REF!,#REF!,$A100,#REF!,D$2)</f>
        <v>#REF!</v>
      </c>
      <c r="E100" s="10" t="e">
        <f>-SUMIFS(#REF!,#REF!,$A100,#REF!,E$2)</f>
        <v>#REF!</v>
      </c>
      <c r="F100" s="10" t="e">
        <f>-SUMIFS(#REF!,#REF!,$A100,#REF!,F$2)</f>
        <v>#REF!</v>
      </c>
      <c r="G100" s="10" t="e">
        <f>-SUMIFS(#REF!,#REF!,$A100,#REF!,G$2)</f>
        <v>#REF!</v>
      </c>
      <c r="H100" s="10" t="e">
        <f>-SUMIFS(#REF!,#REF!,$A100,#REF!,H$2)</f>
        <v>#REF!</v>
      </c>
      <c r="I100" s="10" t="e">
        <f>-SUMIFS(#REF!,#REF!,$A100,#REF!,I$2)</f>
        <v>#REF!</v>
      </c>
      <c r="J100" s="10" t="e">
        <f>-SUMIFS(#REF!,#REF!,$A100,#REF!,J$2)</f>
        <v>#REF!</v>
      </c>
      <c r="K100" s="10" t="e">
        <f>-SUMIFS(#REF!,#REF!,$A100,#REF!,K$2)</f>
        <v>#REF!</v>
      </c>
      <c r="L100" s="10" t="e">
        <f>-SUMIFS(#REF!,#REF!,$A100,#REF!,L$2)</f>
        <v>#REF!</v>
      </c>
      <c r="M100" s="10" t="e">
        <f>-SUMIFS(#REF!,#REF!,$A100,#REF!,M$2)</f>
        <v>#REF!</v>
      </c>
      <c r="O100" s="10" t="e">
        <f t="shared" si="19"/>
        <v>#REF!</v>
      </c>
      <c r="P100" s="15" t="s">
        <v>302</v>
      </c>
    </row>
    <row r="101" spans="1:16" x14ac:dyDescent="0.25">
      <c r="A101" s="13" t="s">
        <v>179</v>
      </c>
      <c r="B101" s="10" t="e">
        <f>-SUMIFS(#REF!,#REF!,$A101,#REF!,B$2)</f>
        <v>#REF!</v>
      </c>
      <c r="C101" s="10" t="e">
        <f>-SUMIFS(#REF!,#REF!,$A101,#REF!,C$2)</f>
        <v>#REF!</v>
      </c>
      <c r="D101" s="10" t="e">
        <f>-SUMIFS(#REF!,#REF!,$A101,#REF!,D$2)</f>
        <v>#REF!</v>
      </c>
      <c r="E101" s="10" t="e">
        <f>-SUMIFS(#REF!,#REF!,$A101,#REF!,E$2)</f>
        <v>#REF!</v>
      </c>
      <c r="F101" s="10" t="e">
        <f>-SUMIFS(#REF!,#REF!,$A101,#REF!,F$2)</f>
        <v>#REF!</v>
      </c>
      <c r="G101" s="10" t="e">
        <f>-SUMIFS(#REF!,#REF!,$A101,#REF!,G$2)</f>
        <v>#REF!</v>
      </c>
      <c r="H101" s="10" t="e">
        <f>-SUMIFS(#REF!,#REF!,$A101,#REF!,H$2)</f>
        <v>#REF!</v>
      </c>
      <c r="I101" s="10" t="e">
        <f>-SUMIFS(#REF!,#REF!,$A101,#REF!,I$2)</f>
        <v>#REF!</v>
      </c>
      <c r="J101" s="10" t="e">
        <f>-SUMIFS(#REF!,#REF!,$A101,#REF!,J$2)</f>
        <v>#REF!</v>
      </c>
      <c r="K101" s="10" t="e">
        <f>-SUMIFS(#REF!,#REF!,$A101,#REF!,K$2)</f>
        <v>#REF!</v>
      </c>
      <c r="L101" s="10" t="e">
        <f>-SUMIFS(#REF!,#REF!,$A101,#REF!,L$2)</f>
        <v>#REF!</v>
      </c>
      <c r="M101" s="10" t="e">
        <f>-SUMIFS(#REF!,#REF!,$A101,#REF!,M$2)</f>
        <v>#REF!</v>
      </c>
      <c r="O101" s="10" t="e">
        <f t="shared" si="19"/>
        <v>#REF!</v>
      </c>
      <c r="P101" s="15" t="s">
        <v>302</v>
      </c>
    </row>
    <row r="102" spans="1:16" x14ac:dyDescent="0.25">
      <c r="A102" s="13" t="s">
        <v>180</v>
      </c>
      <c r="B102" s="10" t="e">
        <f>-SUMIFS(#REF!,#REF!,$A102,#REF!,B$2)</f>
        <v>#REF!</v>
      </c>
      <c r="C102" s="10" t="e">
        <f>-SUMIFS(#REF!,#REF!,$A102,#REF!,C$2)</f>
        <v>#REF!</v>
      </c>
      <c r="D102" s="10" t="e">
        <f>-SUMIFS(#REF!,#REF!,$A102,#REF!,D$2)</f>
        <v>#REF!</v>
      </c>
      <c r="E102" s="10" t="e">
        <f>-SUMIFS(#REF!,#REF!,$A102,#REF!,E$2)</f>
        <v>#REF!</v>
      </c>
      <c r="F102" s="10" t="e">
        <f>-SUMIFS(#REF!,#REF!,$A102,#REF!,F$2)</f>
        <v>#REF!</v>
      </c>
      <c r="G102" s="10" t="e">
        <f>-SUMIFS(#REF!,#REF!,$A102,#REF!,G$2)</f>
        <v>#REF!</v>
      </c>
      <c r="H102" s="10" t="e">
        <f>-SUMIFS(#REF!,#REF!,$A102,#REF!,H$2)</f>
        <v>#REF!</v>
      </c>
      <c r="I102" s="10" t="e">
        <f>-SUMIFS(#REF!,#REF!,$A102,#REF!,I$2)</f>
        <v>#REF!</v>
      </c>
      <c r="J102" s="10" t="e">
        <f>-SUMIFS(#REF!,#REF!,$A102,#REF!,J$2)</f>
        <v>#REF!</v>
      </c>
      <c r="K102" s="10" t="e">
        <f>-SUMIFS(#REF!,#REF!,$A102,#REF!,K$2)</f>
        <v>#REF!</v>
      </c>
      <c r="L102" s="10" t="e">
        <f>-SUMIFS(#REF!,#REF!,$A102,#REF!,L$2)</f>
        <v>#REF!</v>
      </c>
      <c r="M102" s="10" t="e">
        <f>-SUMIFS(#REF!,#REF!,$A102,#REF!,M$2)</f>
        <v>#REF!</v>
      </c>
      <c r="O102" s="10" t="e">
        <f t="shared" si="19"/>
        <v>#REF!</v>
      </c>
      <c r="P102" s="15" t="s">
        <v>302</v>
      </c>
    </row>
    <row r="103" spans="1:16" x14ac:dyDescent="0.25">
      <c r="A103" s="13" t="s">
        <v>181</v>
      </c>
      <c r="B103" s="10" t="e">
        <f>-SUMIFS(#REF!,#REF!,$A103,#REF!,B$2)</f>
        <v>#REF!</v>
      </c>
      <c r="C103" s="10" t="e">
        <f>-SUMIFS(#REF!,#REF!,$A103,#REF!,C$2)</f>
        <v>#REF!</v>
      </c>
      <c r="D103" s="10" t="e">
        <f>-SUMIFS(#REF!,#REF!,$A103,#REF!,D$2)</f>
        <v>#REF!</v>
      </c>
      <c r="E103" s="10" t="e">
        <f>-SUMIFS(#REF!,#REF!,$A103,#REF!,E$2)</f>
        <v>#REF!</v>
      </c>
      <c r="F103" s="10" t="e">
        <f>-SUMIFS(#REF!,#REF!,$A103,#REF!,F$2)</f>
        <v>#REF!</v>
      </c>
      <c r="G103" s="10" t="e">
        <f>-SUMIFS(#REF!,#REF!,$A103,#REF!,G$2)</f>
        <v>#REF!</v>
      </c>
      <c r="H103" s="10" t="e">
        <f>-SUMIFS(#REF!,#REF!,$A103,#REF!,H$2)</f>
        <v>#REF!</v>
      </c>
      <c r="I103" s="10" t="e">
        <f>-SUMIFS(#REF!,#REF!,$A103,#REF!,I$2)</f>
        <v>#REF!</v>
      </c>
      <c r="J103" s="10" t="e">
        <f>-SUMIFS(#REF!,#REF!,$A103,#REF!,J$2)</f>
        <v>#REF!</v>
      </c>
      <c r="K103" s="10" t="e">
        <f>-SUMIFS(#REF!,#REF!,$A103,#REF!,K$2)</f>
        <v>#REF!</v>
      </c>
      <c r="L103" s="10" t="e">
        <f>-SUMIFS(#REF!,#REF!,$A103,#REF!,L$2)</f>
        <v>#REF!</v>
      </c>
      <c r="M103" s="10" t="e">
        <f>-SUMIFS(#REF!,#REF!,$A103,#REF!,M$2)</f>
        <v>#REF!</v>
      </c>
      <c r="O103" s="10" t="e">
        <f t="shared" si="19"/>
        <v>#REF!</v>
      </c>
      <c r="P103" s="15" t="s">
        <v>302</v>
      </c>
    </row>
    <row r="104" spans="1:16" x14ac:dyDescent="0.25">
      <c r="A104" s="13" t="s">
        <v>182</v>
      </c>
      <c r="B104" s="10" t="e">
        <f>-SUMIFS(#REF!,#REF!,$A104,#REF!,B$2)</f>
        <v>#REF!</v>
      </c>
      <c r="C104" s="10" t="e">
        <f>-SUMIFS(#REF!,#REF!,$A104,#REF!,C$2)</f>
        <v>#REF!</v>
      </c>
      <c r="D104" s="10" t="e">
        <f>-SUMIFS(#REF!,#REF!,$A104,#REF!,D$2)</f>
        <v>#REF!</v>
      </c>
      <c r="E104" s="10" t="e">
        <f>-SUMIFS(#REF!,#REF!,$A104,#REF!,E$2)</f>
        <v>#REF!</v>
      </c>
      <c r="F104" s="10" t="e">
        <f>-SUMIFS(#REF!,#REF!,$A104,#REF!,F$2)</f>
        <v>#REF!</v>
      </c>
      <c r="G104" s="10" t="e">
        <f>-SUMIFS(#REF!,#REF!,$A104,#REF!,G$2)</f>
        <v>#REF!</v>
      </c>
      <c r="H104" s="10" t="e">
        <f>-SUMIFS(#REF!,#REF!,$A104,#REF!,H$2)</f>
        <v>#REF!</v>
      </c>
      <c r="I104" s="10" t="e">
        <f>-SUMIFS(#REF!,#REF!,$A104,#REF!,I$2)</f>
        <v>#REF!</v>
      </c>
      <c r="J104" s="10" t="e">
        <f>-SUMIFS(#REF!,#REF!,$A104,#REF!,J$2)</f>
        <v>#REF!</v>
      </c>
      <c r="K104" s="10" t="e">
        <f>-SUMIFS(#REF!,#REF!,$A104,#REF!,K$2)</f>
        <v>#REF!</v>
      </c>
      <c r="L104" s="10" t="e">
        <f>-SUMIFS(#REF!,#REF!,$A104,#REF!,L$2)</f>
        <v>#REF!</v>
      </c>
      <c r="M104" s="10" t="e">
        <f>-SUMIFS(#REF!,#REF!,$A104,#REF!,M$2)</f>
        <v>#REF!</v>
      </c>
      <c r="O104" s="10" t="e">
        <f t="shared" si="19"/>
        <v>#REF!</v>
      </c>
      <c r="P104" s="15" t="s">
        <v>302</v>
      </c>
    </row>
    <row r="105" spans="1:16" x14ac:dyDescent="0.25">
      <c r="A105" s="13" t="s">
        <v>183</v>
      </c>
      <c r="B105" s="10" t="e">
        <f>-SUMIFS(#REF!,#REF!,$A105,#REF!,B$2)</f>
        <v>#REF!</v>
      </c>
      <c r="C105" s="10" t="e">
        <f>-SUMIFS(#REF!,#REF!,$A105,#REF!,C$2)</f>
        <v>#REF!</v>
      </c>
      <c r="D105" s="10" t="e">
        <f>-SUMIFS(#REF!,#REF!,$A105,#REF!,D$2)</f>
        <v>#REF!</v>
      </c>
      <c r="E105" s="10" t="e">
        <f>-SUMIFS(#REF!,#REF!,$A105,#REF!,E$2)</f>
        <v>#REF!</v>
      </c>
      <c r="F105" s="10" t="e">
        <f>-SUMIFS(#REF!,#REF!,$A105,#REF!,F$2)</f>
        <v>#REF!</v>
      </c>
      <c r="G105" s="10" t="e">
        <f>-SUMIFS(#REF!,#REF!,$A105,#REF!,G$2)</f>
        <v>#REF!</v>
      </c>
      <c r="H105" s="10" t="e">
        <f>-SUMIFS(#REF!,#REF!,$A105,#REF!,H$2)</f>
        <v>#REF!</v>
      </c>
      <c r="I105" s="10" t="e">
        <f>-SUMIFS(#REF!,#REF!,$A105,#REF!,I$2)</f>
        <v>#REF!</v>
      </c>
      <c r="J105" s="10" t="e">
        <f>-SUMIFS(#REF!,#REF!,$A105,#REF!,J$2)</f>
        <v>#REF!</v>
      </c>
      <c r="K105" s="10" t="e">
        <f>-SUMIFS(#REF!,#REF!,$A105,#REF!,K$2)</f>
        <v>#REF!</v>
      </c>
      <c r="L105" s="10" t="e">
        <f>-SUMIFS(#REF!,#REF!,$A105,#REF!,L$2)</f>
        <v>#REF!</v>
      </c>
      <c r="M105" s="10" t="e">
        <f>-SUMIFS(#REF!,#REF!,$A105,#REF!,M$2)</f>
        <v>#REF!</v>
      </c>
      <c r="O105" s="10" t="e">
        <f t="shared" si="19"/>
        <v>#REF!</v>
      </c>
      <c r="P105" s="15" t="s">
        <v>302</v>
      </c>
    </row>
    <row r="106" spans="1:16" x14ac:dyDescent="0.25">
      <c r="A106" s="15" t="s">
        <v>281</v>
      </c>
      <c r="B106" s="16" t="e">
        <f t="shared" ref="B106:M106" si="20">SUM(B91:B105)</f>
        <v>#REF!</v>
      </c>
      <c r="C106" s="16" t="e">
        <f t="shared" si="20"/>
        <v>#REF!</v>
      </c>
      <c r="D106" s="16" t="e">
        <f t="shared" si="20"/>
        <v>#REF!</v>
      </c>
      <c r="E106" s="16" t="e">
        <f t="shared" si="20"/>
        <v>#REF!</v>
      </c>
      <c r="F106" s="16" t="e">
        <f t="shared" si="20"/>
        <v>#REF!</v>
      </c>
      <c r="G106" s="16" t="e">
        <f t="shared" si="20"/>
        <v>#REF!</v>
      </c>
      <c r="H106" s="16" t="e">
        <f t="shared" si="20"/>
        <v>#REF!</v>
      </c>
      <c r="I106" s="16" t="e">
        <f t="shared" si="20"/>
        <v>#REF!</v>
      </c>
      <c r="J106" s="16" t="e">
        <f t="shared" si="20"/>
        <v>#REF!</v>
      </c>
      <c r="K106" s="16" t="e">
        <f t="shared" si="20"/>
        <v>#REF!</v>
      </c>
      <c r="L106" s="16" t="e">
        <f t="shared" si="20"/>
        <v>#REF!</v>
      </c>
      <c r="M106" s="16" t="e">
        <f t="shared" si="20"/>
        <v>#REF!</v>
      </c>
      <c r="O106" s="16" t="e">
        <f>SUM(O91:O105)</f>
        <v>#REF!</v>
      </c>
      <c r="P106" s="15" t="s">
        <v>302</v>
      </c>
    </row>
    <row r="107" spans="1:16" x14ac:dyDescent="0.25">
      <c r="P107" s="33" t="s">
        <v>295</v>
      </c>
    </row>
    <row r="108" spans="1:16" x14ac:dyDescent="0.25">
      <c r="A108" s="8" t="s">
        <v>271</v>
      </c>
      <c r="P108" s="33" t="s">
        <v>295</v>
      </c>
    </row>
    <row r="109" spans="1:16" x14ac:dyDescent="0.25">
      <c r="A109" s="9" t="s">
        <v>77</v>
      </c>
      <c r="B109" s="10" t="e">
        <f>-SUMIFS(#REF!,#REF!,$A109,#REF!,B$2)</f>
        <v>#REF!</v>
      </c>
      <c r="C109" s="10" t="e">
        <f>-SUMIFS(#REF!,#REF!,$A109,#REF!,C$2)</f>
        <v>#REF!</v>
      </c>
      <c r="D109" s="10" t="e">
        <f>-SUMIFS(#REF!,#REF!,$A109,#REF!,D$2)</f>
        <v>#REF!</v>
      </c>
      <c r="E109" s="10" t="e">
        <f>-SUMIFS(#REF!,#REF!,$A109,#REF!,E$2)</f>
        <v>#REF!</v>
      </c>
      <c r="F109" s="10" t="e">
        <f>-SUMIFS(#REF!,#REF!,$A109,#REF!,F$2)</f>
        <v>#REF!</v>
      </c>
      <c r="G109" s="10" t="e">
        <f>-SUMIFS(#REF!,#REF!,$A109,#REF!,G$2)</f>
        <v>#REF!</v>
      </c>
      <c r="H109" s="10" t="e">
        <f>-SUMIFS(#REF!,#REF!,$A109,#REF!,H$2)</f>
        <v>#REF!</v>
      </c>
      <c r="I109" s="10" t="e">
        <f>-SUMIFS(#REF!,#REF!,$A109,#REF!,I$2)</f>
        <v>#REF!</v>
      </c>
      <c r="J109" s="10" t="e">
        <f>-SUMIFS(#REF!,#REF!,$A109,#REF!,J$2)</f>
        <v>#REF!</v>
      </c>
      <c r="K109" s="10" t="e">
        <f>-SUMIFS(#REF!,#REF!,$A109,#REF!,K$2)</f>
        <v>#REF!</v>
      </c>
      <c r="L109" s="10" t="e">
        <f>-SUMIFS(#REF!,#REF!,$A109,#REF!,L$2)</f>
        <v>#REF!</v>
      </c>
      <c r="M109" s="10" t="e">
        <f>-SUMIFS(#REF!,#REF!,$A109,#REF!,M$2)</f>
        <v>#REF!</v>
      </c>
      <c r="O109" s="10" t="e">
        <f t="shared" ref="O109:O114" si="21">SUM(B109:N109)</f>
        <v>#REF!</v>
      </c>
      <c r="P109" s="21" t="s">
        <v>273</v>
      </c>
    </row>
    <row r="110" spans="1:16" x14ac:dyDescent="0.25">
      <c r="A110" s="13" t="s">
        <v>78</v>
      </c>
      <c r="B110" s="10" t="e">
        <f>-SUMIFS(#REF!,#REF!,$A110,#REF!,B$2)</f>
        <v>#REF!</v>
      </c>
      <c r="C110" s="10" t="e">
        <f>-SUMIFS(#REF!,#REF!,$A110,#REF!,C$2)</f>
        <v>#REF!</v>
      </c>
      <c r="D110" s="10" t="e">
        <f>-SUMIFS(#REF!,#REF!,$A110,#REF!,D$2)</f>
        <v>#REF!</v>
      </c>
      <c r="E110" s="10" t="e">
        <f>-SUMIFS(#REF!,#REF!,$A110,#REF!,E$2)</f>
        <v>#REF!</v>
      </c>
      <c r="F110" s="10" t="e">
        <f>-SUMIFS(#REF!,#REF!,$A110,#REF!,F$2)</f>
        <v>#REF!</v>
      </c>
      <c r="G110" s="10" t="e">
        <f>-SUMIFS(#REF!,#REF!,$A110,#REF!,G$2)</f>
        <v>#REF!</v>
      </c>
      <c r="H110" s="10" t="e">
        <f>-SUMIFS(#REF!,#REF!,$A110,#REF!,H$2)</f>
        <v>#REF!</v>
      </c>
      <c r="I110" s="10" t="e">
        <f>-SUMIFS(#REF!,#REF!,$A110,#REF!,I$2)</f>
        <v>#REF!</v>
      </c>
      <c r="J110" s="10" t="e">
        <f>-SUMIFS(#REF!,#REF!,$A110,#REF!,J$2)</f>
        <v>#REF!</v>
      </c>
      <c r="K110" s="10" t="e">
        <f>-SUMIFS(#REF!,#REF!,$A110,#REF!,K$2)</f>
        <v>#REF!</v>
      </c>
      <c r="L110" s="10" t="e">
        <f>-SUMIFS(#REF!,#REF!,$A110,#REF!,L$2)</f>
        <v>#REF!</v>
      </c>
      <c r="M110" s="10" t="e">
        <f>-SUMIFS(#REF!,#REF!,$A110,#REF!,M$2)</f>
        <v>#REF!</v>
      </c>
      <c r="O110" s="10" t="e">
        <f t="shared" si="21"/>
        <v>#REF!</v>
      </c>
      <c r="P110" s="21" t="s">
        <v>273</v>
      </c>
    </row>
    <row r="111" spans="1:16" x14ac:dyDescent="0.25">
      <c r="A111" s="13" t="s">
        <v>79</v>
      </c>
      <c r="B111" s="10" t="e">
        <f>-SUMIFS(#REF!,#REF!,$A111,#REF!,B$2)</f>
        <v>#REF!</v>
      </c>
      <c r="C111" s="10" t="e">
        <f>-SUMIFS(#REF!,#REF!,$A111,#REF!,C$2)</f>
        <v>#REF!</v>
      </c>
      <c r="D111" s="10" t="e">
        <f>-SUMIFS(#REF!,#REF!,$A111,#REF!,D$2)</f>
        <v>#REF!</v>
      </c>
      <c r="E111" s="10" t="e">
        <f>-SUMIFS(#REF!,#REF!,$A111,#REF!,E$2)</f>
        <v>#REF!</v>
      </c>
      <c r="F111" s="10" t="e">
        <f>-SUMIFS(#REF!,#REF!,$A111,#REF!,F$2)</f>
        <v>#REF!</v>
      </c>
      <c r="G111" s="10" t="e">
        <f>-SUMIFS(#REF!,#REF!,$A111,#REF!,G$2)</f>
        <v>#REF!</v>
      </c>
      <c r="H111" s="10" t="e">
        <f>-SUMIFS(#REF!,#REF!,$A111,#REF!,H$2)</f>
        <v>#REF!</v>
      </c>
      <c r="I111" s="10" t="e">
        <f>-SUMIFS(#REF!,#REF!,$A111,#REF!,I$2)</f>
        <v>#REF!</v>
      </c>
      <c r="J111" s="10" t="e">
        <f>-SUMIFS(#REF!,#REF!,$A111,#REF!,J$2)</f>
        <v>#REF!</v>
      </c>
      <c r="K111" s="10" t="e">
        <f>-SUMIFS(#REF!,#REF!,$A111,#REF!,K$2)</f>
        <v>#REF!</v>
      </c>
      <c r="L111" s="10" t="e">
        <f>-SUMIFS(#REF!,#REF!,$A111,#REF!,L$2)</f>
        <v>#REF!</v>
      </c>
      <c r="M111" s="10" t="e">
        <f>-SUMIFS(#REF!,#REF!,$A111,#REF!,M$2)</f>
        <v>#REF!</v>
      </c>
      <c r="O111" s="10" t="e">
        <f t="shared" si="21"/>
        <v>#REF!</v>
      </c>
      <c r="P111" s="21" t="s">
        <v>273</v>
      </c>
    </row>
    <row r="112" spans="1:16" x14ac:dyDescent="0.25">
      <c r="A112" s="13" t="s">
        <v>80</v>
      </c>
      <c r="B112" s="10" t="e">
        <f>-SUMIFS(#REF!,#REF!,$A112,#REF!,B$2)</f>
        <v>#REF!</v>
      </c>
      <c r="C112" s="10" t="e">
        <f>-SUMIFS(#REF!,#REF!,$A112,#REF!,C$2)</f>
        <v>#REF!</v>
      </c>
      <c r="D112" s="10" t="e">
        <f>-SUMIFS(#REF!,#REF!,$A112,#REF!,D$2)</f>
        <v>#REF!</v>
      </c>
      <c r="E112" s="10" t="e">
        <f>-SUMIFS(#REF!,#REF!,$A112,#REF!,E$2)</f>
        <v>#REF!</v>
      </c>
      <c r="F112" s="10" t="e">
        <f>-SUMIFS(#REF!,#REF!,$A112,#REF!,F$2)</f>
        <v>#REF!</v>
      </c>
      <c r="G112" s="10" t="e">
        <f>-SUMIFS(#REF!,#REF!,$A112,#REF!,G$2)</f>
        <v>#REF!</v>
      </c>
      <c r="H112" s="10" t="e">
        <f>-SUMIFS(#REF!,#REF!,$A112,#REF!,H$2)</f>
        <v>#REF!</v>
      </c>
      <c r="I112" s="10" t="e">
        <f>-SUMIFS(#REF!,#REF!,$A112,#REF!,I$2)</f>
        <v>#REF!</v>
      </c>
      <c r="J112" s="10" t="e">
        <f>-SUMIFS(#REF!,#REF!,$A112,#REF!,J$2)</f>
        <v>#REF!</v>
      </c>
      <c r="K112" s="10" t="e">
        <f>-SUMIFS(#REF!,#REF!,$A112,#REF!,K$2)</f>
        <v>#REF!</v>
      </c>
      <c r="L112" s="10" t="e">
        <f>-SUMIFS(#REF!,#REF!,$A112,#REF!,L$2)</f>
        <v>#REF!</v>
      </c>
      <c r="M112" s="10" t="e">
        <f>-SUMIFS(#REF!,#REF!,$A112,#REF!,M$2)</f>
        <v>#REF!</v>
      </c>
      <c r="O112" s="10" t="e">
        <f t="shared" si="21"/>
        <v>#REF!</v>
      </c>
      <c r="P112" s="21" t="s">
        <v>273</v>
      </c>
    </row>
    <row r="113" spans="1:16" x14ac:dyDescent="0.25">
      <c r="A113" s="13" t="s">
        <v>81</v>
      </c>
      <c r="B113" s="10" t="e">
        <f>-SUMIFS(#REF!,#REF!,$A113,#REF!,B$2)</f>
        <v>#REF!</v>
      </c>
      <c r="C113" s="10" t="e">
        <f>-SUMIFS(#REF!,#REF!,$A113,#REF!,C$2)</f>
        <v>#REF!</v>
      </c>
      <c r="D113" s="10" t="e">
        <f>-SUMIFS(#REF!,#REF!,$A113,#REF!,D$2)</f>
        <v>#REF!</v>
      </c>
      <c r="E113" s="10" t="e">
        <f>-SUMIFS(#REF!,#REF!,$A113,#REF!,E$2)</f>
        <v>#REF!</v>
      </c>
      <c r="F113" s="10" t="e">
        <f>-SUMIFS(#REF!,#REF!,$A113,#REF!,F$2)</f>
        <v>#REF!</v>
      </c>
      <c r="G113" s="10" t="e">
        <f>-SUMIFS(#REF!,#REF!,$A113,#REF!,G$2)</f>
        <v>#REF!</v>
      </c>
      <c r="H113" s="10" t="e">
        <f>-SUMIFS(#REF!,#REF!,$A113,#REF!,H$2)</f>
        <v>#REF!</v>
      </c>
      <c r="I113" s="10" t="e">
        <f>-SUMIFS(#REF!,#REF!,$A113,#REF!,I$2)</f>
        <v>#REF!</v>
      </c>
      <c r="J113" s="10" t="e">
        <f>-SUMIFS(#REF!,#REF!,$A113,#REF!,J$2)</f>
        <v>#REF!</v>
      </c>
      <c r="K113" s="10" t="e">
        <f>-SUMIFS(#REF!,#REF!,$A113,#REF!,K$2)</f>
        <v>#REF!</v>
      </c>
      <c r="L113" s="10" t="e">
        <f>-SUMIFS(#REF!,#REF!,$A113,#REF!,L$2)</f>
        <v>#REF!</v>
      </c>
      <c r="M113" s="10" t="e">
        <f>-SUMIFS(#REF!,#REF!,$A113,#REF!,M$2)</f>
        <v>#REF!</v>
      </c>
      <c r="O113" s="10" t="e">
        <f t="shared" si="21"/>
        <v>#REF!</v>
      </c>
      <c r="P113" s="21" t="s">
        <v>273</v>
      </c>
    </row>
    <row r="114" spans="1:16" x14ac:dyDescent="0.25">
      <c r="A114" s="13" t="s">
        <v>83</v>
      </c>
      <c r="B114" s="10" t="e">
        <f>-SUMIFS(#REF!,#REF!,$A114,#REF!,B$2)</f>
        <v>#REF!</v>
      </c>
      <c r="C114" s="10" t="e">
        <f>-SUMIFS(#REF!,#REF!,$A114,#REF!,C$2)</f>
        <v>#REF!</v>
      </c>
      <c r="D114" s="10" t="e">
        <f>-SUMIFS(#REF!,#REF!,$A114,#REF!,D$2)</f>
        <v>#REF!</v>
      </c>
      <c r="E114" s="10" t="e">
        <f>-SUMIFS(#REF!,#REF!,$A114,#REF!,E$2)</f>
        <v>#REF!</v>
      </c>
      <c r="F114" s="10" t="e">
        <f>-SUMIFS(#REF!,#REF!,$A114,#REF!,F$2)</f>
        <v>#REF!</v>
      </c>
      <c r="G114" s="10" t="e">
        <f>-SUMIFS(#REF!,#REF!,$A114,#REF!,G$2)</f>
        <v>#REF!</v>
      </c>
      <c r="H114" s="10" t="e">
        <f>-SUMIFS(#REF!,#REF!,$A114,#REF!,H$2)</f>
        <v>#REF!</v>
      </c>
      <c r="I114" s="10" t="e">
        <f>-SUMIFS(#REF!,#REF!,$A114,#REF!,I$2)</f>
        <v>#REF!</v>
      </c>
      <c r="J114" s="10" t="e">
        <f>-SUMIFS(#REF!,#REF!,$A114,#REF!,J$2)</f>
        <v>#REF!</v>
      </c>
      <c r="K114" s="10" t="e">
        <f>-SUMIFS(#REF!,#REF!,$A114,#REF!,K$2)</f>
        <v>#REF!</v>
      </c>
      <c r="L114" s="10" t="e">
        <f>-SUMIFS(#REF!,#REF!,$A114,#REF!,L$2)</f>
        <v>#REF!</v>
      </c>
      <c r="M114" s="10" t="e">
        <f>-SUMIFS(#REF!,#REF!,$A114,#REF!,M$2)</f>
        <v>#REF!</v>
      </c>
      <c r="O114" s="10" t="e">
        <f t="shared" si="21"/>
        <v>#REF!</v>
      </c>
      <c r="P114" s="21" t="s">
        <v>273</v>
      </c>
    </row>
    <row r="115" spans="1:16" x14ac:dyDescent="0.25">
      <c r="A115" s="15" t="s">
        <v>275</v>
      </c>
      <c r="B115" s="16" t="e">
        <f t="shared" ref="B115:M115" si="22">SUM(B109:B114)</f>
        <v>#REF!</v>
      </c>
      <c r="C115" s="16" t="e">
        <f t="shared" si="22"/>
        <v>#REF!</v>
      </c>
      <c r="D115" s="16" t="e">
        <f t="shared" si="22"/>
        <v>#REF!</v>
      </c>
      <c r="E115" s="16" t="e">
        <f t="shared" si="22"/>
        <v>#REF!</v>
      </c>
      <c r="F115" s="16" t="e">
        <f t="shared" si="22"/>
        <v>#REF!</v>
      </c>
      <c r="G115" s="16" t="e">
        <f t="shared" si="22"/>
        <v>#REF!</v>
      </c>
      <c r="H115" s="16" t="e">
        <f t="shared" si="22"/>
        <v>#REF!</v>
      </c>
      <c r="I115" s="16" t="e">
        <f t="shared" si="22"/>
        <v>#REF!</v>
      </c>
      <c r="J115" s="16" t="e">
        <f t="shared" si="22"/>
        <v>#REF!</v>
      </c>
      <c r="K115" s="16" t="e">
        <f t="shared" si="22"/>
        <v>#REF!</v>
      </c>
      <c r="L115" s="16" t="e">
        <f t="shared" si="22"/>
        <v>#REF!</v>
      </c>
      <c r="M115" s="16" t="e">
        <f t="shared" si="22"/>
        <v>#REF!</v>
      </c>
      <c r="O115" s="16" t="e">
        <f>SUM(O109:O114)</f>
        <v>#REF!</v>
      </c>
      <c r="P115" s="21" t="s">
        <v>273</v>
      </c>
    </row>
    <row r="116" spans="1:16" x14ac:dyDescent="0.25">
      <c r="A116" s="8" t="s">
        <v>272</v>
      </c>
      <c r="P116" s="33" t="s">
        <v>295</v>
      </c>
    </row>
    <row r="117" spans="1:16" x14ac:dyDescent="0.25">
      <c r="A117" s="13" t="s">
        <v>71</v>
      </c>
      <c r="B117" s="10" t="e">
        <f>-SUMIFS(#REF!,#REF!,$A117,#REF!,B$2)</f>
        <v>#REF!</v>
      </c>
      <c r="C117" s="10" t="e">
        <f>-SUMIFS(#REF!,#REF!,$A117,#REF!,C$2)</f>
        <v>#REF!</v>
      </c>
      <c r="D117" s="10" t="e">
        <f>-SUMIFS(#REF!,#REF!,$A117,#REF!,D$2)</f>
        <v>#REF!</v>
      </c>
      <c r="E117" s="10" t="e">
        <f>-SUMIFS(#REF!,#REF!,$A117,#REF!,E$2)</f>
        <v>#REF!</v>
      </c>
      <c r="F117" s="10" t="e">
        <f>-SUMIFS(#REF!,#REF!,$A117,#REF!,F$2)</f>
        <v>#REF!</v>
      </c>
      <c r="G117" s="10" t="e">
        <f>-SUMIFS(#REF!,#REF!,$A117,#REF!,G$2)</f>
        <v>#REF!</v>
      </c>
      <c r="H117" s="10" t="e">
        <f>-SUMIFS(#REF!,#REF!,$A117,#REF!,H$2)</f>
        <v>#REF!</v>
      </c>
      <c r="I117" s="10" t="e">
        <f>-SUMIFS(#REF!,#REF!,$A117,#REF!,I$2)</f>
        <v>#REF!</v>
      </c>
      <c r="J117" s="10" t="e">
        <f>-SUMIFS(#REF!,#REF!,$A117,#REF!,J$2)</f>
        <v>#REF!</v>
      </c>
      <c r="K117" s="10" t="e">
        <f>-SUMIFS(#REF!,#REF!,$A117,#REF!,K$2)</f>
        <v>#REF!</v>
      </c>
      <c r="L117" s="10" t="e">
        <f>-SUMIFS(#REF!,#REF!,$A117,#REF!,L$2)</f>
        <v>#REF!</v>
      </c>
      <c r="M117" s="10" t="e">
        <f>-SUMIFS(#REF!,#REF!,$A117,#REF!,M$2)</f>
        <v>#REF!</v>
      </c>
      <c r="O117" s="10" t="e">
        <f t="shared" ref="O117:O119" si="23">SUM(B117:N117)</f>
        <v>#REF!</v>
      </c>
      <c r="P117" s="21" t="s">
        <v>273</v>
      </c>
    </row>
    <row r="118" spans="1:16" x14ac:dyDescent="0.25">
      <c r="A118" s="13" t="s">
        <v>73</v>
      </c>
      <c r="B118" s="10" t="e">
        <f>-SUMIFS(#REF!,#REF!,$A118,#REF!,B$2)</f>
        <v>#REF!</v>
      </c>
      <c r="C118" s="10" t="e">
        <f>-SUMIFS(#REF!,#REF!,$A118,#REF!,C$2)</f>
        <v>#REF!</v>
      </c>
      <c r="D118" s="10" t="e">
        <f>-SUMIFS(#REF!,#REF!,$A118,#REF!,D$2)</f>
        <v>#REF!</v>
      </c>
      <c r="E118" s="10" t="e">
        <f>-SUMIFS(#REF!,#REF!,$A118,#REF!,E$2)</f>
        <v>#REF!</v>
      </c>
      <c r="F118" s="10" t="e">
        <f>-SUMIFS(#REF!,#REF!,$A118,#REF!,F$2)</f>
        <v>#REF!</v>
      </c>
      <c r="G118" s="10" t="e">
        <f>-SUMIFS(#REF!,#REF!,$A118,#REF!,G$2)</f>
        <v>#REF!</v>
      </c>
      <c r="H118" s="10" t="e">
        <f>-SUMIFS(#REF!,#REF!,$A118,#REF!,H$2)</f>
        <v>#REF!</v>
      </c>
      <c r="I118" s="10" t="e">
        <f>-SUMIFS(#REF!,#REF!,$A118,#REF!,I$2)</f>
        <v>#REF!</v>
      </c>
      <c r="J118" s="10" t="e">
        <f>-SUMIFS(#REF!,#REF!,$A118,#REF!,J$2)</f>
        <v>#REF!</v>
      </c>
      <c r="K118" s="10" t="e">
        <f>-SUMIFS(#REF!,#REF!,$A118,#REF!,K$2)</f>
        <v>#REF!</v>
      </c>
      <c r="L118" s="10" t="e">
        <f>-SUMIFS(#REF!,#REF!,$A118,#REF!,L$2)</f>
        <v>#REF!</v>
      </c>
      <c r="M118" s="10" t="e">
        <f>-SUMIFS(#REF!,#REF!,$A118,#REF!,M$2)</f>
        <v>#REF!</v>
      </c>
      <c r="O118" s="10" t="e">
        <f t="shared" si="23"/>
        <v>#REF!</v>
      </c>
      <c r="P118" s="21" t="s">
        <v>273</v>
      </c>
    </row>
    <row r="119" spans="1:16" x14ac:dyDescent="0.25">
      <c r="A119" s="13" t="s">
        <v>74</v>
      </c>
      <c r="B119" s="10" t="e">
        <f>-SUMIFS(#REF!,#REF!,$A119,#REF!,B$2)</f>
        <v>#REF!</v>
      </c>
      <c r="C119" s="10" t="e">
        <f>-SUMIFS(#REF!,#REF!,$A119,#REF!,C$2)</f>
        <v>#REF!</v>
      </c>
      <c r="D119" s="10" t="e">
        <f>-SUMIFS(#REF!,#REF!,$A119,#REF!,D$2)</f>
        <v>#REF!</v>
      </c>
      <c r="E119" s="10" t="e">
        <f>-SUMIFS(#REF!,#REF!,$A119,#REF!,E$2)</f>
        <v>#REF!</v>
      </c>
      <c r="F119" s="10" t="e">
        <f>-SUMIFS(#REF!,#REF!,$A119,#REF!,F$2)</f>
        <v>#REF!</v>
      </c>
      <c r="G119" s="10" t="e">
        <f>-SUMIFS(#REF!,#REF!,$A119,#REF!,G$2)</f>
        <v>#REF!</v>
      </c>
      <c r="H119" s="10" t="e">
        <f>-SUMIFS(#REF!,#REF!,$A119,#REF!,H$2)</f>
        <v>#REF!</v>
      </c>
      <c r="I119" s="10" t="e">
        <f>-SUMIFS(#REF!,#REF!,$A119,#REF!,I$2)</f>
        <v>#REF!</v>
      </c>
      <c r="J119" s="10" t="e">
        <f>-SUMIFS(#REF!,#REF!,$A119,#REF!,J$2)</f>
        <v>#REF!</v>
      </c>
      <c r="K119" s="10" t="e">
        <f>-SUMIFS(#REF!,#REF!,$A119,#REF!,K$2)</f>
        <v>#REF!</v>
      </c>
      <c r="L119" s="10" t="e">
        <f>-SUMIFS(#REF!,#REF!,$A119,#REF!,L$2)</f>
        <v>#REF!</v>
      </c>
      <c r="M119" s="10" t="e">
        <f>-SUMIFS(#REF!,#REF!,$A119,#REF!,M$2)</f>
        <v>#REF!</v>
      </c>
      <c r="O119" s="10" t="e">
        <f t="shared" si="23"/>
        <v>#REF!</v>
      </c>
      <c r="P119" s="21" t="s">
        <v>273</v>
      </c>
    </row>
    <row r="120" spans="1:16" x14ac:dyDescent="0.25">
      <c r="A120" s="15" t="s">
        <v>274</v>
      </c>
      <c r="B120" s="16" t="e">
        <f t="shared" ref="B120:M120" si="24">SUM(B117:B119)</f>
        <v>#REF!</v>
      </c>
      <c r="C120" s="16" t="e">
        <f t="shared" si="24"/>
        <v>#REF!</v>
      </c>
      <c r="D120" s="16" t="e">
        <f t="shared" si="24"/>
        <v>#REF!</v>
      </c>
      <c r="E120" s="16" t="e">
        <f t="shared" si="24"/>
        <v>#REF!</v>
      </c>
      <c r="F120" s="16" t="e">
        <f t="shared" si="24"/>
        <v>#REF!</v>
      </c>
      <c r="G120" s="16" t="e">
        <f t="shared" si="24"/>
        <v>#REF!</v>
      </c>
      <c r="H120" s="16" t="e">
        <f t="shared" si="24"/>
        <v>#REF!</v>
      </c>
      <c r="I120" s="16" t="e">
        <f t="shared" si="24"/>
        <v>#REF!</v>
      </c>
      <c r="J120" s="16" t="e">
        <f t="shared" si="24"/>
        <v>#REF!</v>
      </c>
      <c r="K120" s="16" t="e">
        <f t="shared" si="24"/>
        <v>#REF!</v>
      </c>
      <c r="L120" s="16" t="e">
        <f t="shared" si="24"/>
        <v>#REF!</v>
      </c>
      <c r="M120" s="16" t="e">
        <f t="shared" si="24"/>
        <v>#REF!</v>
      </c>
      <c r="O120" s="16" t="e">
        <f>SUM(O117:O119)</f>
        <v>#REF!</v>
      </c>
      <c r="P120" s="21" t="s">
        <v>273</v>
      </c>
    </row>
    <row r="121" spans="1:16" x14ac:dyDescent="0.25">
      <c r="A121" s="8"/>
      <c r="P121" s="33" t="s">
        <v>295</v>
      </c>
    </row>
    <row r="122" spans="1:16" x14ac:dyDescent="0.25">
      <c r="A122" s="21" t="s">
        <v>273</v>
      </c>
      <c r="B122" s="20" t="e">
        <f t="shared" ref="B122:M122" si="25">B115+B120</f>
        <v>#REF!</v>
      </c>
      <c r="C122" s="20" t="e">
        <f t="shared" si="25"/>
        <v>#REF!</v>
      </c>
      <c r="D122" s="20" t="e">
        <f t="shared" si="25"/>
        <v>#REF!</v>
      </c>
      <c r="E122" s="20" t="e">
        <f t="shared" si="25"/>
        <v>#REF!</v>
      </c>
      <c r="F122" s="20" t="e">
        <f t="shared" si="25"/>
        <v>#REF!</v>
      </c>
      <c r="G122" s="20" t="e">
        <f t="shared" si="25"/>
        <v>#REF!</v>
      </c>
      <c r="H122" s="20" t="e">
        <f t="shared" si="25"/>
        <v>#REF!</v>
      </c>
      <c r="I122" s="20" t="e">
        <f t="shared" si="25"/>
        <v>#REF!</v>
      </c>
      <c r="J122" s="20" t="e">
        <f t="shared" si="25"/>
        <v>#REF!</v>
      </c>
      <c r="K122" s="20" t="e">
        <f t="shared" si="25"/>
        <v>#REF!</v>
      </c>
      <c r="L122" s="20" t="e">
        <f t="shared" si="25"/>
        <v>#REF!</v>
      </c>
      <c r="M122" s="20" t="e">
        <f t="shared" si="25"/>
        <v>#REF!</v>
      </c>
      <c r="O122" s="20" t="e">
        <f>O115+O120</f>
        <v>#REF!</v>
      </c>
      <c r="P122" s="21" t="s">
        <v>273</v>
      </c>
    </row>
    <row r="123" spans="1:16" x14ac:dyDescent="0.25">
      <c r="P123" s="33" t="s">
        <v>295</v>
      </c>
    </row>
    <row r="124" spans="1:16" x14ac:dyDescent="0.25">
      <c r="A124" s="8" t="s">
        <v>291</v>
      </c>
      <c r="P124" s="33" t="s">
        <v>295</v>
      </c>
    </row>
    <row r="125" spans="1:16" x14ac:dyDescent="0.25">
      <c r="A125" s="13" t="s">
        <v>187</v>
      </c>
      <c r="B125" s="10" t="e">
        <f>-SUMIFS(#REF!,#REF!,$A125,#REF!,B$2)</f>
        <v>#REF!</v>
      </c>
      <c r="C125" s="10" t="e">
        <f>-SUMIFS(#REF!,#REF!,$A125,#REF!,C$2)</f>
        <v>#REF!</v>
      </c>
      <c r="D125" s="10" t="e">
        <f>-SUMIFS(#REF!,#REF!,$A125,#REF!,D$2)</f>
        <v>#REF!</v>
      </c>
      <c r="E125" s="10" t="e">
        <f>-SUMIFS(#REF!,#REF!,$A125,#REF!,E$2)</f>
        <v>#REF!</v>
      </c>
      <c r="F125" s="10" t="e">
        <f>-SUMIFS(#REF!,#REF!,$A125,#REF!,F$2)</f>
        <v>#REF!</v>
      </c>
      <c r="G125" s="10" t="e">
        <f>-SUMIFS(#REF!,#REF!,$A125,#REF!,G$2)</f>
        <v>#REF!</v>
      </c>
      <c r="H125" s="10" t="e">
        <f>-SUMIFS(#REF!,#REF!,$A125,#REF!,H$2)</f>
        <v>#REF!</v>
      </c>
      <c r="I125" s="10" t="e">
        <f>-SUMIFS(#REF!,#REF!,$A125,#REF!,I$2)</f>
        <v>#REF!</v>
      </c>
      <c r="J125" s="10" t="e">
        <f>-SUMIFS(#REF!,#REF!,$A125,#REF!,J$2)</f>
        <v>#REF!</v>
      </c>
      <c r="K125" s="10" t="e">
        <f>-SUMIFS(#REF!,#REF!,$A125,#REF!,K$2)</f>
        <v>#REF!</v>
      </c>
      <c r="L125" s="10" t="e">
        <f>-SUMIFS(#REF!,#REF!,$A125,#REF!,L$2)</f>
        <v>#REF!</v>
      </c>
      <c r="M125" s="10" t="e">
        <f>-SUMIFS(#REF!,#REF!,$A125,#REF!,M$2)</f>
        <v>#REF!</v>
      </c>
      <c r="O125" s="10" t="e">
        <f t="shared" ref="O125:O128" si="26">SUM(B125:N125)</f>
        <v>#REF!</v>
      </c>
      <c r="P125" s="15" t="s">
        <v>303</v>
      </c>
    </row>
    <row r="126" spans="1:16" x14ac:dyDescent="0.25">
      <c r="A126" s="13" t="s">
        <v>189</v>
      </c>
      <c r="B126" s="10" t="e">
        <f>-SUMIFS(#REF!,#REF!,$A126,#REF!,B$2)</f>
        <v>#REF!</v>
      </c>
      <c r="C126" s="10" t="e">
        <f>-SUMIFS(#REF!,#REF!,$A126,#REF!,C$2)</f>
        <v>#REF!</v>
      </c>
      <c r="D126" s="10" t="e">
        <f>-SUMIFS(#REF!,#REF!,$A126,#REF!,D$2)</f>
        <v>#REF!</v>
      </c>
      <c r="E126" s="10" t="e">
        <f>-SUMIFS(#REF!,#REF!,$A126,#REF!,E$2)</f>
        <v>#REF!</v>
      </c>
      <c r="F126" s="10" t="e">
        <f>-SUMIFS(#REF!,#REF!,$A126,#REF!,F$2)</f>
        <v>#REF!</v>
      </c>
      <c r="G126" s="10" t="e">
        <f>-SUMIFS(#REF!,#REF!,$A126,#REF!,G$2)</f>
        <v>#REF!</v>
      </c>
      <c r="H126" s="10" t="e">
        <f>-SUMIFS(#REF!,#REF!,$A126,#REF!,H$2)</f>
        <v>#REF!</v>
      </c>
      <c r="I126" s="10" t="e">
        <f>-SUMIFS(#REF!,#REF!,$A126,#REF!,I$2)</f>
        <v>#REF!</v>
      </c>
      <c r="J126" s="10" t="e">
        <f>-SUMIFS(#REF!,#REF!,$A126,#REF!,J$2)</f>
        <v>#REF!</v>
      </c>
      <c r="K126" s="10" t="e">
        <f>-SUMIFS(#REF!,#REF!,$A126,#REF!,K$2)</f>
        <v>#REF!</v>
      </c>
      <c r="L126" s="10" t="e">
        <f>-SUMIFS(#REF!,#REF!,$A126,#REF!,L$2)</f>
        <v>#REF!</v>
      </c>
      <c r="M126" s="10" t="e">
        <f>-SUMIFS(#REF!,#REF!,$A126,#REF!,M$2)</f>
        <v>#REF!</v>
      </c>
      <c r="O126" s="10" t="e">
        <f t="shared" si="26"/>
        <v>#REF!</v>
      </c>
      <c r="P126" s="15" t="s">
        <v>303</v>
      </c>
    </row>
    <row r="127" spans="1:16" x14ac:dyDescent="0.25">
      <c r="A127" s="1" t="s">
        <v>70</v>
      </c>
      <c r="B127" s="10" t="e">
        <f>-SUMIFS(#REF!,#REF!,$A127,#REF!,B$2)</f>
        <v>#REF!</v>
      </c>
      <c r="C127" s="10" t="e">
        <f>-SUMIFS(#REF!,#REF!,$A127,#REF!,C$2)</f>
        <v>#REF!</v>
      </c>
      <c r="D127" s="10" t="e">
        <f>-SUMIFS(#REF!,#REF!,$A127,#REF!,D$2)</f>
        <v>#REF!</v>
      </c>
      <c r="E127" s="10" t="e">
        <f>-SUMIFS(#REF!,#REF!,$A127,#REF!,E$2)</f>
        <v>#REF!</v>
      </c>
      <c r="F127" s="10" t="e">
        <f>-SUMIFS(#REF!,#REF!,$A127,#REF!,F$2)</f>
        <v>#REF!</v>
      </c>
      <c r="G127" s="10" t="e">
        <f>-SUMIFS(#REF!,#REF!,$A127,#REF!,G$2)</f>
        <v>#REF!</v>
      </c>
      <c r="H127" s="10" t="e">
        <f>-SUMIFS(#REF!,#REF!,$A127,#REF!,H$2)</f>
        <v>#REF!</v>
      </c>
      <c r="I127" s="10" t="e">
        <f>-SUMIFS(#REF!,#REF!,$A127,#REF!,I$2)</f>
        <v>#REF!</v>
      </c>
      <c r="J127" s="10" t="e">
        <f>-SUMIFS(#REF!,#REF!,$A127,#REF!,J$2)</f>
        <v>#REF!</v>
      </c>
      <c r="K127" s="10" t="e">
        <f>-SUMIFS(#REF!,#REF!,$A127,#REF!,K$2)</f>
        <v>#REF!</v>
      </c>
      <c r="L127" s="10" t="e">
        <f>-SUMIFS(#REF!,#REF!,$A127,#REF!,L$2)</f>
        <v>#REF!</v>
      </c>
      <c r="M127" s="10" t="e">
        <f>-SUMIFS(#REF!,#REF!,$A127,#REF!,M$2)</f>
        <v>#REF!</v>
      </c>
      <c r="O127" s="10" t="e">
        <f t="shared" si="26"/>
        <v>#REF!</v>
      </c>
      <c r="P127" s="15" t="s">
        <v>303</v>
      </c>
    </row>
    <row r="128" spans="1:16" x14ac:dyDescent="0.25">
      <c r="A128" s="13" t="s">
        <v>283</v>
      </c>
      <c r="B128" s="10" t="e">
        <f>-SUMIFS(#REF!,#REF!,$A128,#REF!,B$2)</f>
        <v>#REF!</v>
      </c>
      <c r="C128" s="10" t="e">
        <f>-SUMIFS(#REF!,#REF!,$A128,#REF!,C$2)</f>
        <v>#REF!</v>
      </c>
      <c r="D128" s="10" t="e">
        <f>-SUMIFS(#REF!,#REF!,$A128,#REF!,D$2)</f>
        <v>#REF!</v>
      </c>
      <c r="E128" s="10" t="e">
        <f>-SUMIFS(#REF!,#REF!,$A128,#REF!,E$2)</f>
        <v>#REF!</v>
      </c>
      <c r="F128" s="10" t="e">
        <f>-SUMIFS(#REF!,#REF!,$A128,#REF!,F$2)</f>
        <v>#REF!</v>
      </c>
      <c r="G128" s="10" t="e">
        <f>-SUMIFS(#REF!,#REF!,$A128,#REF!,G$2)</f>
        <v>#REF!</v>
      </c>
      <c r="H128" s="10" t="e">
        <f>-SUMIFS(#REF!,#REF!,$A128,#REF!,H$2)</f>
        <v>#REF!</v>
      </c>
      <c r="I128" s="10" t="e">
        <f>-SUMIFS(#REF!,#REF!,$A128,#REF!,I$2)</f>
        <v>#REF!</v>
      </c>
      <c r="J128" s="10" t="e">
        <f>-SUMIFS(#REF!,#REF!,$A128,#REF!,J$2)</f>
        <v>#REF!</v>
      </c>
      <c r="K128" s="10" t="e">
        <f>-SUMIFS(#REF!,#REF!,$A128,#REF!,K$2)</f>
        <v>#REF!</v>
      </c>
      <c r="L128" s="10" t="e">
        <f>-SUMIFS(#REF!,#REF!,$A128,#REF!,L$2)</f>
        <v>#REF!</v>
      </c>
      <c r="M128" s="10" t="e">
        <f>-SUMIFS(#REF!,#REF!,$A128,#REF!,M$2)</f>
        <v>#REF!</v>
      </c>
      <c r="O128" s="10" t="e">
        <f t="shared" si="26"/>
        <v>#REF!</v>
      </c>
      <c r="P128" s="15" t="s">
        <v>303</v>
      </c>
    </row>
    <row r="129" spans="1:16" x14ac:dyDescent="0.25">
      <c r="A129" s="15" t="s">
        <v>292</v>
      </c>
      <c r="B129" s="16" t="e">
        <f t="shared" ref="B129:M129" si="27">SUM(B125:B128)</f>
        <v>#REF!</v>
      </c>
      <c r="C129" s="16" t="e">
        <f t="shared" si="27"/>
        <v>#REF!</v>
      </c>
      <c r="D129" s="16" t="e">
        <f t="shared" si="27"/>
        <v>#REF!</v>
      </c>
      <c r="E129" s="16" t="e">
        <f t="shared" si="27"/>
        <v>#REF!</v>
      </c>
      <c r="F129" s="16" t="e">
        <f t="shared" si="27"/>
        <v>#REF!</v>
      </c>
      <c r="G129" s="16" t="e">
        <f t="shared" si="27"/>
        <v>#REF!</v>
      </c>
      <c r="H129" s="16" t="e">
        <f t="shared" si="27"/>
        <v>#REF!</v>
      </c>
      <c r="I129" s="16" t="e">
        <f t="shared" si="27"/>
        <v>#REF!</v>
      </c>
      <c r="J129" s="16" t="e">
        <f t="shared" si="27"/>
        <v>#REF!</v>
      </c>
      <c r="K129" s="16" t="e">
        <f t="shared" si="27"/>
        <v>#REF!</v>
      </c>
      <c r="L129" s="16" t="e">
        <f t="shared" si="27"/>
        <v>#REF!</v>
      </c>
      <c r="M129" s="16" t="e">
        <f t="shared" si="27"/>
        <v>#REF!</v>
      </c>
      <c r="O129" s="16" t="e">
        <f>SUM(O125:O128)</f>
        <v>#REF!</v>
      </c>
      <c r="P129" s="15" t="s">
        <v>303</v>
      </c>
    </row>
    <row r="130" spans="1:16" x14ac:dyDescent="0.25">
      <c r="P130" s="33" t="s">
        <v>295</v>
      </c>
    </row>
    <row r="131" spans="1:16" x14ac:dyDescent="0.25">
      <c r="P131" s="33" t="s">
        <v>295</v>
      </c>
    </row>
    <row r="132" spans="1:16" x14ac:dyDescent="0.25">
      <c r="P132" s="33" t="s">
        <v>295</v>
      </c>
    </row>
    <row r="133" spans="1:16" x14ac:dyDescent="0.25">
      <c r="P133" s="33" t="s">
        <v>295</v>
      </c>
    </row>
    <row r="134" spans="1:16" x14ac:dyDescent="0.25">
      <c r="P134" s="33" t="s">
        <v>295</v>
      </c>
    </row>
    <row r="135" spans="1:16" x14ac:dyDescent="0.25">
      <c r="P135" s="33" t="s">
        <v>295</v>
      </c>
    </row>
    <row r="136" spans="1:16" x14ac:dyDescent="0.25">
      <c r="P136" s="33" t="s">
        <v>295</v>
      </c>
    </row>
    <row r="137" spans="1:16" x14ac:dyDescent="0.25">
      <c r="P137" s="33" t="s">
        <v>295</v>
      </c>
    </row>
    <row r="138" spans="1:16" x14ac:dyDescent="0.25">
      <c r="P138" s="33" t="s">
        <v>295</v>
      </c>
    </row>
    <row r="139" spans="1:16" x14ac:dyDescent="0.25">
      <c r="P139" s="33" t="s">
        <v>295</v>
      </c>
    </row>
    <row r="140" spans="1:16" x14ac:dyDescent="0.25">
      <c r="P140" s="33" t="s">
        <v>295</v>
      </c>
    </row>
    <row r="141" spans="1:16" x14ac:dyDescent="0.25">
      <c r="P141" s="33" t="s">
        <v>295</v>
      </c>
    </row>
    <row r="142" spans="1:16" x14ac:dyDescent="0.25">
      <c r="P142" s="33" t="s">
        <v>295</v>
      </c>
    </row>
    <row r="143" spans="1:16" x14ac:dyDescent="0.25">
      <c r="P143" s="33" t="s">
        <v>295</v>
      </c>
    </row>
    <row r="144" spans="1:16" x14ac:dyDescent="0.25">
      <c r="P144" s="33" t="s">
        <v>295</v>
      </c>
    </row>
    <row r="145" spans="16:16" x14ac:dyDescent="0.25">
      <c r="P145" s="33" t="s">
        <v>295</v>
      </c>
    </row>
    <row r="146" spans="16:16" x14ac:dyDescent="0.25">
      <c r="P146" s="33" t="s">
        <v>295</v>
      </c>
    </row>
    <row r="147" spans="16:16" x14ac:dyDescent="0.25">
      <c r="P147" s="33" t="s">
        <v>295</v>
      </c>
    </row>
    <row r="148" spans="16:16" x14ac:dyDescent="0.25">
      <c r="P148" s="33" t="s">
        <v>295</v>
      </c>
    </row>
    <row r="149" spans="16:16" x14ac:dyDescent="0.25">
      <c r="P149" s="33" t="s">
        <v>295</v>
      </c>
    </row>
    <row r="150" spans="16:16" x14ac:dyDescent="0.25">
      <c r="P150" s="33" t="s">
        <v>295</v>
      </c>
    </row>
    <row r="151" spans="16:16" x14ac:dyDescent="0.25">
      <c r="P151" s="33" t="s">
        <v>295</v>
      </c>
    </row>
    <row r="152" spans="16:16" x14ac:dyDescent="0.25">
      <c r="P152" s="33" t="s">
        <v>295</v>
      </c>
    </row>
    <row r="153" spans="16:16" x14ac:dyDescent="0.25">
      <c r="P153" s="33" t="s">
        <v>295</v>
      </c>
    </row>
    <row r="154" spans="16:16" x14ac:dyDescent="0.25">
      <c r="P154" s="33" t="s">
        <v>295</v>
      </c>
    </row>
    <row r="155" spans="16:16" x14ac:dyDescent="0.25">
      <c r="P155" s="33" t="s">
        <v>295</v>
      </c>
    </row>
    <row r="156" spans="16:16" x14ac:dyDescent="0.25">
      <c r="P156" s="33" t="s">
        <v>295</v>
      </c>
    </row>
    <row r="157" spans="16:16" x14ac:dyDescent="0.25">
      <c r="P157" s="33" t="s">
        <v>295</v>
      </c>
    </row>
    <row r="158" spans="16:16" x14ac:dyDescent="0.25">
      <c r="P158" s="33" t="s">
        <v>295</v>
      </c>
    </row>
    <row r="159" spans="16:16" x14ac:dyDescent="0.25">
      <c r="P159" s="33" t="s">
        <v>295</v>
      </c>
    </row>
    <row r="160" spans="16:16" x14ac:dyDescent="0.25">
      <c r="P160" s="33" t="s">
        <v>295</v>
      </c>
    </row>
    <row r="161" spans="16:16" x14ac:dyDescent="0.25">
      <c r="P161" s="33" t="s">
        <v>295</v>
      </c>
    </row>
    <row r="162" spans="16:16" x14ac:dyDescent="0.25">
      <c r="P162" s="33" t="s">
        <v>295</v>
      </c>
    </row>
    <row r="163" spans="16:16" x14ac:dyDescent="0.25">
      <c r="P163" s="33" t="s">
        <v>295</v>
      </c>
    </row>
    <row r="164" spans="16:16" x14ac:dyDescent="0.25">
      <c r="P164" s="33" t="s">
        <v>295</v>
      </c>
    </row>
    <row r="165" spans="16:16" x14ac:dyDescent="0.25">
      <c r="P165" s="33" t="s">
        <v>295</v>
      </c>
    </row>
    <row r="166" spans="16:16" x14ac:dyDescent="0.25">
      <c r="P166" s="33" t="s">
        <v>295</v>
      </c>
    </row>
    <row r="167" spans="16:16" x14ac:dyDescent="0.25">
      <c r="P167" s="33" t="s">
        <v>295</v>
      </c>
    </row>
    <row r="168" spans="16:16" x14ac:dyDescent="0.25">
      <c r="P168" s="33" t="s">
        <v>295</v>
      </c>
    </row>
    <row r="169" spans="16:16" x14ac:dyDescent="0.25">
      <c r="P169" s="33" t="s">
        <v>295</v>
      </c>
    </row>
    <row r="170" spans="16:16" x14ac:dyDescent="0.25">
      <c r="P170" s="33" t="s">
        <v>295</v>
      </c>
    </row>
    <row r="171" spans="16:16" x14ac:dyDescent="0.25">
      <c r="P171" s="33" t="s">
        <v>295</v>
      </c>
    </row>
    <row r="172" spans="16:16" x14ac:dyDescent="0.25">
      <c r="P172" s="33" t="s">
        <v>295</v>
      </c>
    </row>
    <row r="173" spans="16:16" x14ac:dyDescent="0.25">
      <c r="P173" s="33" t="s">
        <v>295</v>
      </c>
    </row>
    <row r="174" spans="16:16" x14ac:dyDescent="0.25">
      <c r="P174" s="33" t="s">
        <v>295</v>
      </c>
    </row>
    <row r="175" spans="16:16" x14ac:dyDescent="0.25">
      <c r="P175" s="33" t="s">
        <v>295</v>
      </c>
    </row>
    <row r="176" spans="16:16" x14ac:dyDescent="0.25">
      <c r="P176" s="33" t="s">
        <v>295</v>
      </c>
    </row>
    <row r="177" spans="16:16" x14ac:dyDescent="0.25">
      <c r="P177" s="33" t="s">
        <v>295</v>
      </c>
    </row>
    <row r="178" spans="16:16" x14ac:dyDescent="0.25">
      <c r="P178" s="33" t="s">
        <v>295</v>
      </c>
    </row>
    <row r="179" spans="16:16" x14ac:dyDescent="0.25">
      <c r="P179" s="33" t="s">
        <v>295</v>
      </c>
    </row>
    <row r="180" spans="16:16" x14ac:dyDescent="0.25">
      <c r="P180" s="33" t="s">
        <v>295</v>
      </c>
    </row>
    <row r="181" spans="16:16" x14ac:dyDescent="0.25">
      <c r="P181" s="33" t="s">
        <v>295</v>
      </c>
    </row>
    <row r="182" spans="16:16" x14ac:dyDescent="0.25">
      <c r="P182" s="33" t="s">
        <v>295</v>
      </c>
    </row>
    <row r="183" spans="16:16" x14ac:dyDescent="0.25">
      <c r="P183" s="33" t="s">
        <v>295</v>
      </c>
    </row>
    <row r="184" spans="16:16" x14ac:dyDescent="0.25">
      <c r="P184" s="33" t="s">
        <v>295</v>
      </c>
    </row>
    <row r="185" spans="16:16" x14ac:dyDescent="0.25">
      <c r="P185" s="33" t="s">
        <v>295</v>
      </c>
    </row>
    <row r="186" spans="16:16" x14ac:dyDescent="0.25">
      <c r="P186" s="33" t="s">
        <v>295</v>
      </c>
    </row>
    <row r="187" spans="16:16" x14ac:dyDescent="0.25">
      <c r="P187" s="33" t="s">
        <v>295</v>
      </c>
    </row>
    <row r="188" spans="16:16" x14ac:dyDescent="0.25">
      <c r="P188" s="33" t="s">
        <v>295</v>
      </c>
    </row>
    <row r="189" spans="16:16" x14ac:dyDescent="0.25">
      <c r="P189" s="33" t="s">
        <v>295</v>
      </c>
    </row>
    <row r="190" spans="16:16" x14ac:dyDescent="0.25">
      <c r="P190" s="33" t="s">
        <v>295</v>
      </c>
    </row>
    <row r="191" spans="16:16" x14ac:dyDescent="0.25">
      <c r="P191" s="33" t="s">
        <v>295</v>
      </c>
    </row>
    <row r="192" spans="16:16" x14ac:dyDescent="0.25">
      <c r="P192" s="33" t="s">
        <v>295</v>
      </c>
    </row>
    <row r="193" spans="16:16" x14ac:dyDescent="0.25">
      <c r="P193" s="33" t="s">
        <v>295</v>
      </c>
    </row>
    <row r="194" spans="16:16" x14ac:dyDescent="0.25">
      <c r="P194" s="33" t="s">
        <v>295</v>
      </c>
    </row>
    <row r="195" spans="16:16" x14ac:dyDescent="0.25">
      <c r="P195" s="33" t="s">
        <v>295</v>
      </c>
    </row>
    <row r="196" spans="16:16" x14ac:dyDescent="0.25">
      <c r="P196" s="33" t="s">
        <v>295</v>
      </c>
    </row>
    <row r="197" spans="16:16" x14ac:dyDescent="0.25">
      <c r="P197" s="33" t="s">
        <v>295</v>
      </c>
    </row>
    <row r="198" spans="16:16" x14ac:dyDescent="0.25">
      <c r="P198" s="33" t="s">
        <v>295</v>
      </c>
    </row>
    <row r="199" spans="16:16" x14ac:dyDescent="0.25">
      <c r="P199" s="33" t="s">
        <v>295</v>
      </c>
    </row>
    <row r="200" spans="16:16" x14ac:dyDescent="0.25">
      <c r="P200" s="33" t="s">
        <v>295</v>
      </c>
    </row>
    <row r="201" spans="16:16" x14ac:dyDescent="0.25">
      <c r="P201" s="33" t="s">
        <v>295</v>
      </c>
    </row>
    <row r="202" spans="16:16" x14ac:dyDescent="0.25">
      <c r="P202" s="33" t="s">
        <v>295</v>
      </c>
    </row>
    <row r="203" spans="16:16" x14ac:dyDescent="0.25">
      <c r="P203" s="33" t="s">
        <v>295</v>
      </c>
    </row>
    <row r="204" spans="16:16" x14ac:dyDescent="0.25">
      <c r="P204" s="33" t="s">
        <v>295</v>
      </c>
    </row>
    <row r="205" spans="16:16" x14ac:dyDescent="0.25">
      <c r="P205" s="33" t="s">
        <v>295</v>
      </c>
    </row>
    <row r="206" spans="16:16" x14ac:dyDescent="0.25">
      <c r="P206" s="33" t="s">
        <v>295</v>
      </c>
    </row>
    <row r="207" spans="16:16" x14ac:dyDescent="0.25">
      <c r="P207" s="33" t="s">
        <v>295</v>
      </c>
    </row>
    <row r="208" spans="16:16" x14ac:dyDescent="0.25">
      <c r="P208" s="33" t="s">
        <v>295</v>
      </c>
    </row>
    <row r="209" spans="16:16" x14ac:dyDescent="0.25">
      <c r="P209" s="33" t="s">
        <v>295</v>
      </c>
    </row>
    <row r="210" spans="16:16" x14ac:dyDescent="0.25">
      <c r="P210" s="33" t="s">
        <v>295</v>
      </c>
    </row>
    <row r="211" spans="16:16" x14ac:dyDescent="0.25">
      <c r="P211" s="33" t="s">
        <v>295</v>
      </c>
    </row>
    <row r="212" spans="16:16" x14ac:dyDescent="0.25">
      <c r="P212" s="33" t="s">
        <v>295</v>
      </c>
    </row>
    <row r="213" spans="16:16" x14ac:dyDescent="0.25">
      <c r="P213" s="33" t="s">
        <v>295</v>
      </c>
    </row>
    <row r="214" spans="16:16" x14ac:dyDescent="0.25">
      <c r="P214" s="33" t="s">
        <v>295</v>
      </c>
    </row>
    <row r="215" spans="16:16" x14ac:dyDescent="0.25">
      <c r="P215" s="33" t="s">
        <v>295</v>
      </c>
    </row>
    <row r="216" spans="16:16" x14ac:dyDescent="0.25">
      <c r="P216" s="33" t="s">
        <v>295</v>
      </c>
    </row>
    <row r="217" spans="16:16" x14ac:dyDescent="0.25">
      <c r="P217" s="33" t="s">
        <v>295</v>
      </c>
    </row>
    <row r="218" spans="16:16" x14ac:dyDescent="0.25">
      <c r="P218" s="33" t="s">
        <v>295</v>
      </c>
    </row>
    <row r="219" spans="16:16" x14ac:dyDescent="0.25">
      <c r="P219" s="33" t="s">
        <v>295</v>
      </c>
    </row>
    <row r="220" spans="16:16" x14ac:dyDescent="0.25">
      <c r="P220" s="33" t="s">
        <v>295</v>
      </c>
    </row>
    <row r="221" spans="16:16" x14ac:dyDescent="0.25">
      <c r="P221" s="33" t="s">
        <v>295</v>
      </c>
    </row>
    <row r="222" spans="16:16" x14ac:dyDescent="0.25">
      <c r="P222" s="33" t="s">
        <v>295</v>
      </c>
    </row>
    <row r="223" spans="16:16" x14ac:dyDescent="0.25">
      <c r="P223" s="33" t="s">
        <v>295</v>
      </c>
    </row>
    <row r="224" spans="16:16" x14ac:dyDescent="0.25">
      <c r="P224" s="33" t="s">
        <v>295</v>
      </c>
    </row>
    <row r="225" spans="16:16" x14ac:dyDescent="0.25">
      <c r="P225" s="33" t="s">
        <v>295</v>
      </c>
    </row>
    <row r="226" spans="16:16" x14ac:dyDescent="0.25">
      <c r="P226" s="33" t="s">
        <v>295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R47"/>
  <sheetViews>
    <sheetView topLeftCell="A6" workbookViewId="0">
      <selection activeCell="U20" sqref="U20"/>
    </sheetView>
  </sheetViews>
  <sheetFormatPr defaultRowHeight="12.75" x14ac:dyDescent="0.2"/>
  <cols>
    <col min="1" max="1" width="25.5703125" style="12" customWidth="1"/>
    <col min="2" max="13" width="7.85546875" style="12" customWidth="1"/>
    <col min="14" max="14" width="2.140625" style="12" customWidth="1"/>
    <col min="15" max="15" width="8.5703125" style="12" customWidth="1"/>
    <col min="16" max="16" width="2.140625" style="12" customWidth="1"/>
    <col min="17" max="17" width="11.85546875" style="12" customWidth="1"/>
    <col min="18" max="18" width="5.28515625" style="12" customWidth="1"/>
    <col min="19" max="256" width="9.140625" style="12"/>
    <col min="257" max="257" width="27.42578125" style="12" customWidth="1"/>
    <col min="258" max="266" width="9" style="12" customWidth="1"/>
    <col min="267" max="269" width="0" style="12" hidden="1" customWidth="1"/>
    <col min="270" max="270" width="2.140625" style="12" customWidth="1"/>
    <col min="271" max="271" width="11.5703125" style="12" customWidth="1"/>
    <col min="272" max="272" width="2.140625" style="12" customWidth="1"/>
    <col min="273" max="273" width="11.85546875" style="12" customWidth="1"/>
    <col min="274" max="274" width="5.7109375" style="12" bestFit="1" customWidth="1"/>
    <col min="275" max="512" width="9.140625" style="12"/>
    <col min="513" max="513" width="27.42578125" style="12" customWidth="1"/>
    <col min="514" max="522" width="9" style="12" customWidth="1"/>
    <col min="523" max="525" width="0" style="12" hidden="1" customWidth="1"/>
    <col min="526" max="526" width="2.140625" style="12" customWidth="1"/>
    <col min="527" max="527" width="11.5703125" style="12" customWidth="1"/>
    <col min="528" max="528" width="2.140625" style="12" customWidth="1"/>
    <col min="529" max="529" width="11.85546875" style="12" customWidth="1"/>
    <col min="530" max="530" width="5.7109375" style="12" bestFit="1" customWidth="1"/>
    <col min="531" max="768" width="9.140625" style="12"/>
    <col min="769" max="769" width="27.42578125" style="12" customWidth="1"/>
    <col min="770" max="778" width="9" style="12" customWidth="1"/>
    <col min="779" max="781" width="0" style="12" hidden="1" customWidth="1"/>
    <col min="782" max="782" width="2.140625" style="12" customWidth="1"/>
    <col min="783" max="783" width="11.5703125" style="12" customWidth="1"/>
    <col min="784" max="784" width="2.140625" style="12" customWidth="1"/>
    <col min="785" max="785" width="11.85546875" style="12" customWidth="1"/>
    <col min="786" max="786" width="5.7109375" style="12" bestFit="1" customWidth="1"/>
    <col min="787" max="1024" width="9.140625" style="12"/>
    <col min="1025" max="1025" width="27.42578125" style="12" customWidth="1"/>
    <col min="1026" max="1034" width="9" style="12" customWidth="1"/>
    <col min="1035" max="1037" width="0" style="12" hidden="1" customWidth="1"/>
    <col min="1038" max="1038" width="2.140625" style="12" customWidth="1"/>
    <col min="1039" max="1039" width="11.5703125" style="12" customWidth="1"/>
    <col min="1040" max="1040" width="2.140625" style="12" customWidth="1"/>
    <col min="1041" max="1041" width="11.85546875" style="12" customWidth="1"/>
    <col min="1042" max="1042" width="5.7109375" style="12" bestFit="1" customWidth="1"/>
    <col min="1043" max="1280" width="9.140625" style="12"/>
    <col min="1281" max="1281" width="27.42578125" style="12" customWidth="1"/>
    <col min="1282" max="1290" width="9" style="12" customWidth="1"/>
    <col min="1291" max="1293" width="0" style="12" hidden="1" customWidth="1"/>
    <col min="1294" max="1294" width="2.140625" style="12" customWidth="1"/>
    <col min="1295" max="1295" width="11.5703125" style="12" customWidth="1"/>
    <col min="1296" max="1296" width="2.140625" style="12" customWidth="1"/>
    <col min="1297" max="1297" width="11.85546875" style="12" customWidth="1"/>
    <col min="1298" max="1298" width="5.7109375" style="12" bestFit="1" customWidth="1"/>
    <col min="1299" max="1536" width="9.140625" style="12"/>
    <col min="1537" max="1537" width="27.42578125" style="12" customWidth="1"/>
    <col min="1538" max="1546" width="9" style="12" customWidth="1"/>
    <col min="1547" max="1549" width="0" style="12" hidden="1" customWidth="1"/>
    <col min="1550" max="1550" width="2.140625" style="12" customWidth="1"/>
    <col min="1551" max="1551" width="11.5703125" style="12" customWidth="1"/>
    <col min="1552" max="1552" width="2.140625" style="12" customWidth="1"/>
    <col min="1553" max="1553" width="11.85546875" style="12" customWidth="1"/>
    <col min="1554" max="1554" width="5.7109375" style="12" bestFit="1" customWidth="1"/>
    <col min="1555" max="1792" width="9.140625" style="12"/>
    <col min="1793" max="1793" width="27.42578125" style="12" customWidth="1"/>
    <col min="1794" max="1802" width="9" style="12" customWidth="1"/>
    <col min="1803" max="1805" width="0" style="12" hidden="1" customWidth="1"/>
    <col min="1806" max="1806" width="2.140625" style="12" customWidth="1"/>
    <col min="1807" max="1807" width="11.5703125" style="12" customWidth="1"/>
    <col min="1808" max="1808" width="2.140625" style="12" customWidth="1"/>
    <col min="1809" max="1809" width="11.85546875" style="12" customWidth="1"/>
    <col min="1810" max="1810" width="5.7109375" style="12" bestFit="1" customWidth="1"/>
    <col min="1811" max="2048" width="9.140625" style="12"/>
    <col min="2049" max="2049" width="27.42578125" style="12" customWidth="1"/>
    <col min="2050" max="2058" width="9" style="12" customWidth="1"/>
    <col min="2059" max="2061" width="0" style="12" hidden="1" customWidth="1"/>
    <col min="2062" max="2062" width="2.140625" style="12" customWidth="1"/>
    <col min="2063" max="2063" width="11.5703125" style="12" customWidth="1"/>
    <col min="2064" max="2064" width="2.140625" style="12" customWidth="1"/>
    <col min="2065" max="2065" width="11.85546875" style="12" customWidth="1"/>
    <col min="2066" max="2066" width="5.7109375" style="12" bestFit="1" customWidth="1"/>
    <col min="2067" max="2304" width="9.140625" style="12"/>
    <col min="2305" max="2305" width="27.42578125" style="12" customWidth="1"/>
    <col min="2306" max="2314" width="9" style="12" customWidth="1"/>
    <col min="2315" max="2317" width="0" style="12" hidden="1" customWidth="1"/>
    <col min="2318" max="2318" width="2.140625" style="12" customWidth="1"/>
    <col min="2319" max="2319" width="11.5703125" style="12" customWidth="1"/>
    <col min="2320" max="2320" width="2.140625" style="12" customWidth="1"/>
    <col min="2321" max="2321" width="11.85546875" style="12" customWidth="1"/>
    <col min="2322" max="2322" width="5.7109375" style="12" bestFit="1" customWidth="1"/>
    <col min="2323" max="2560" width="9.140625" style="12"/>
    <col min="2561" max="2561" width="27.42578125" style="12" customWidth="1"/>
    <col min="2562" max="2570" width="9" style="12" customWidth="1"/>
    <col min="2571" max="2573" width="0" style="12" hidden="1" customWidth="1"/>
    <col min="2574" max="2574" width="2.140625" style="12" customWidth="1"/>
    <col min="2575" max="2575" width="11.5703125" style="12" customWidth="1"/>
    <col min="2576" max="2576" width="2.140625" style="12" customWidth="1"/>
    <col min="2577" max="2577" width="11.85546875" style="12" customWidth="1"/>
    <col min="2578" max="2578" width="5.7109375" style="12" bestFit="1" customWidth="1"/>
    <col min="2579" max="2816" width="9.140625" style="12"/>
    <col min="2817" max="2817" width="27.42578125" style="12" customWidth="1"/>
    <col min="2818" max="2826" width="9" style="12" customWidth="1"/>
    <col min="2827" max="2829" width="0" style="12" hidden="1" customWidth="1"/>
    <col min="2830" max="2830" width="2.140625" style="12" customWidth="1"/>
    <col min="2831" max="2831" width="11.5703125" style="12" customWidth="1"/>
    <col min="2832" max="2832" width="2.140625" style="12" customWidth="1"/>
    <col min="2833" max="2833" width="11.85546875" style="12" customWidth="1"/>
    <col min="2834" max="2834" width="5.7109375" style="12" bestFit="1" customWidth="1"/>
    <col min="2835" max="3072" width="9.140625" style="12"/>
    <col min="3073" max="3073" width="27.42578125" style="12" customWidth="1"/>
    <col min="3074" max="3082" width="9" style="12" customWidth="1"/>
    <col min="3083" max="3085" width="0" style="12" hidden="1" customWidth="1"/>
    <col min="3086" max="3086" width="2.140625" style="12" customWidth="1"/>
    <col min="3087" max="3087" width="11.5703125" style="12" customWidth="1"/>
    <col min="3088" max="3088" width="2.140625" style="12" customWidth="1"/>
    <col min="3089" max="3089" width="11.85546875" style="12" customWidth="1"/>
    <col min="3090" max="3090" width="5.7109375" style="12" bestFit="1" customWidth="1"/>
    <col min="3091" max="3328" width="9.140625" style="12"/>
    <col min="3329" max="3329" width="27.42578125" style="12" customWidth="1"/>
    <col min="3330" max="3338" width="9" style="12" customWidth="1"/>
    <col min="3339" max="3341" width="0" style="12" hidden="1" customWidth="1"/>
    <col min="3342" max="3342" width="2.140625" style="12" customWidth="1"/>
    <col min="3343" max="3343" width="11.5703125" style="12" customWidth="1"/>
    <col min="3344" max="3344" width="2.140625" style="12" customWidth="1"/>
    <col min="3345" max="3345" width="11.85546875" style="12" customWidth="1"/>
    <col min="3346" max="3346" width="5.7109375" style="12" bestFit="1" customWidth="1"/>
    <col min="3347" max="3584" width="9.140625" style="12"/>
    <col min="3585" max="3585" width="27.42578125" style="12" customWidth="1"/>
    <col min="3586" max="3594" width="9" style="12" customWidth="1"/>
    <col min="3595" max="3597" width="0" style="12" hidden="1" customWidth="1"/>
    <col min="3598" max="3598" width="2.140625" style="12" customWidth="1"/>
    <col min="3599" max="3599" width="11.5703125" style="12" customWidth="1"/>
    <col min="3600" max="3600" width="2.140625" style="12" customWidth="1"/>
    <col min="3601" max="3601" width="11.85546875" style="12" customWidth="1"/>
    <col min="3602" max="3602" width="5.7109375" style="12" bestFit="1" customWidth="1"/>
    <col min="3603" max="3840" width="9.140625" style="12"/>
    <col min="3841" max="3841" width="27.42578125" style="12" customWidth="1"/>
    <col min="3842" max="3850" width="9" style="12" customWidth="1"/>
    <col min="3851" max="3853" width="0" style="12" hidden="1" customWidth="1"/>
    <col min="3854" max="3854" width="2.140625" style="12" customWidth="1"/>
    <col min="3855" max="3855" width="11.5703125" style="12" customWidth="1"/>
    <col min="3856" max="3856" width="2.140625" style="12" customWidth="1"/>
    <col min="3857" max="3857" width="11.85546875" style="12" customWidth="1"/>
    <col min="3858" max="3858" width="5.7109375" style="12" bestFit="1" customWidth="1"/>
    <col min="3859" max="4096" width="9.140625" style="12"/>
    <col min="4097" max="4097" width="27.42578125" style="12" customWidth="1"/>
    <col min="4098" max="4106" width="9" style="12" customWidth="1"/>
    <col min="4107" max="4109" width="0" style="12" hidden="1" customWidth="1"/>
    <col min="4110" max="4110" width="2.140625" style="12" customWidth="1"/>
    <col min="4111" max="4111" width="11.5703125" style="12" customWidth="1"/>
    <col min="4112" max="4112" width="2.140625" style="12" customWidth="1"/>
    <col min="4113" max="4113" width="11.85546875" style="12" customWidth="1"/>
    <col min="4114" max="4114" width="5.7109375" style="12" bestFit="1" customWidth="1"/>
    <col min="4115" max="4352" width="9.140625" style="12"/>
    <col min="4353" max="4353" width="27.42578125" style="12" customWidth="1"/>
    <col min="4354" max="4362" width="9" style="12" customWidth="1"/>
    <col min="4363" max="4365" width="0" style="12" hidden="1" customWidth="1"/>
    <col min="4366" max="4366" width="2.140625" style="12" customWidth="1"/>
    <col min="4367" max="4367" width="11.5703125" style="12" customWidth="1"/>
    <col min="4368" max="4368" width="2.140625" style="12" customWidth="1"/>
    <col min="4369" max="4369" width="11.85546875" style="12" customWidth="1"/>
    <col min="4370" max="4370" width="5.7109375" style="12" bestFit="1" customWidth="1"/>
    <col min="4371" max="4608" width="9.140625" style="12"/>
    <col min="4609" max="4609" width="27.42578125" style="12" customWidth="1"/>
    <col min="4610" max="4618" width="9" style="12" customWidth="1"/>
    <col min="4619" max="4621" width="0" style="12" hidden="1" customWidth="1"/>
    <col min="4622" max="4622" width="2.140625" style="12" customWidth="1"/>
    <col min="4623" max="4623" width="11.5703125" style="12" customWidth="1"/>
    <col min="4624" max="4624" width="2.140625" style="12" customWidth="1"/>
    <col min="4625" max="4625" width="11.85546875" style="12" customWidth="1"/>
    <col min="4626" max="4626" width="5.7109375" style="12" bestFit="1" customWidth="1"/>
    <col min="4627" max="4864" width="9.140625" style="12"/>
    <col min="4865" max="4865" width="27.42578125" style="12" customWidth="1"/>
    <col min="4866" max="4874" width="9" style="12" customWidth="1"/>
    <col min="4875" max="4877" width="0" style="12" hidden="1" customWidth="1"/>
    <col min="4878" max="4878" width="2.140625" style="12" customWidth="1"/>
    <col min="4879" max="4879" width="11.5703125" style="12" customWidth="1"/>
    <col min="4880" max="4880" width="2.140625" style="12" customWidth="1"/>
    <col min="4881" max="4881" width="11.85546875" style="12" customWidth="1"/>
    <col min="4882" max="4882" width="5.7109375" style="12" bestFit="1" customWidth="1"/>
    <col min="4883" max="5120" width="9.140625" style="12"/>
    <col min="5121" max="5121" width="27.42578125" style="12" customWidth="1"/>
    <col min="5122" max="5130" width="9" style="12" customWidth="1"/>
    <col min="5131" max="5133" width="0" style="12" hidden="1" customWidth="1"/>
    <col min="5134" max="5134" width="2.140625" style="12" customWidth="1"/>
    <col min="5135" max="5135" width="11.5703125" style="12" customWidth="1"/>
    <col min="5136" max="5136" width="2.140625" style="12" customWidth="1"/>
    <col min="5137" max="5137" width="11.85546875" style="12" customWidth="1"/>
    <col min="5138" max="5138" width="5.7109375" style="12" bestFit="1" customWidth="1"/>
    <col min="5139" max="5376" width="9.140625" style="12"/>
    <col min="5377" max="5377" width="27.42578125" style="12" customWidth="1"/>
    <col min="5378" max="5386" width="9" style="12" customWidth="1"/>
    <col min="5387" max="5389" width="0" style="12" hidden="1" customWidth="1"/>
    <col min="5390" max="5390" width="2.140625" style="12" customWidth="1"/>
    <col min="5391" max="5391" width="11.5703125" style="12" customWidth="1"/>
    <col min="5392" max="5392" width="2.140625" style="12" customWidth="1"/>
    <col min="5393" max="5393" width="11.85546875" style="12" customWidth="1"/>
    <col min="5394" max="5394" width="5.7109375" style="12" bestFit="1" customWidth="1"/>
    <col min="5395" max="5632" width="9.140625" style="12"/>
    <col min="5633" max="5633" width="27.42578125" style="12" customWidth="1"/>
    <col min="5634" max="5642" width="9" style="12" customWidth="1"/>
    <col min="5643" max="5645" width="0" style="12" hidden="1" customWidth="1"/>
    <col min="5646" max="5646" width="2.140625" style="12" customWidth="1"/>
    <col min="5647" max="5647" width="11.5703125" style="12" customWidth="1"/>
    <col min="5648" max="5648" width="2.140625" style="12" customWidth="1"/>
    <col min="5649" max="5649" width="11.85546875" style="12" customWidth="1"/>
    <col min="5650" max="5650" width="5.7109375" style="12" bestFit="1" customWidth="1"/>
    <col min="5651" max="5888" width="9.140625" style="12"/>
    <col min="5889" max="5889" width="27.42578125" style="12" customWidth="1"/>
    <col min="5890" max="5898" width="9" style="12" customWidth="1"/>
    <col min="5899" max="5901" width="0" style="12" hidden="1" customWidth="1"/>
    <col min="5902" max="5902" width="2.140625" style="12" customWidth="1"/>
    <col min="5903" max="5903" width="11.5703125" style="12" customWidth="1"/>
    <col min="5904" max="5904" width="2.140625" style="12" customWidth="1"/>
    <col min="5905" max="5905" width="11.85546875" style="12" customWidth="1"/>
    <col min="5906" max="5906" width="5.7109375" style="12" bestFit="1" customWidth="1"/>
    <col min="5907" max="6144" width="9.140625" style="12"/>
    <col min="6145" max="6145" width="27.42578125" style="12" customWidth="1"/>
    <col min="6146" max="6154" width="9" style="12" customWidth="1"/>
    <col min="6155" max="6157" width="0" style="12" hidden="1" customWidth="1"/>
    <col min="6158" max="6158" width="2.140625" style="12" customWidth="1"/>
    <col min="6159" max="6159" width="11.5703125" style="12" customWidth="1"/>
    <col min="6160" max="6160" width="2.140625" style="12" customWidth="1"/>
    <col min="6161" max="6161" width="11.85546875" style="12" customWidth="1"/>
    <col min="6162" max="6162" width="5.7109375" style="12" bestFit="1" customWidth="1"/>
    <col min="6163" max="6400" width="9.140625" style="12"/>
    <col min="6401" max="6401" width="27.42578125" style="12" customWidth="1"/>
    <col min="6402" max="6410" width="9" style="12" customWidth="1"/>
    <col min="6411" max="6413" width="0" style="12" hidden="1" customWidth="1"/>
    <col min="6414" max="6414" width="2.140625" style="12" customWidth="1"/>
    <col min="6415" max="6415" width="11.5703125" style="12" customWidth="1"/>
    <col min="6416" max="6416" width="2.140625" style="12" customWidth="1"/>
    <col min="6417" max="6417" width="11.85546875" style="12" customWidth="1"/>
    <col min="6418" max="6418" width="5.7109375" style="12" bestFit="1" customWidth="1"/>
    <col min="6419" max="6656" width="9.140625" style="12"/>
    <col min="6657" max="6657" width="27.42578125" style="12" customWidth="1"/>
    <col min="6658" max="6666" width="9" style="12" customWidth="1"/>
    <col min="6667" max="6669" width="0" style="12" hidden="1" customWidth="1"/>
    <col min="6670" max="6670" width="2.140625" style="12" customWidth="1"/>
    <col min="6671" max="6671" width="11.5703125" style="12" customWidth="1"/>
    <col min="6672" max="6672" width="2.140625" style="12" customWidth="1"/>
    <col min="6673" max="6673" width="11.85546875" style="12" customWidth="1"/>
    <col min="6674" max="6674" width="5.7109375" style="12" bestFit="1" customWidth="1"/>
    <col min="6675" max="6912" width="9.140625" style="12"/>
    <col min="6913" max="6913" width="27.42578125" style="12" customWidth="1"/>
    <col min="6914" max="6922" width="9" style="12" customWidth="1"/>
    <col min="6923" max="6925" width="0" style="12" hidden="1" customWidth="1"/>
    <col min="6926" max="6926" width="2.140625" style="12" customWidth="1"/>
    <col min="6927" max="6927" width="11.5703125" style="12" customWidth="1"/>
    <col min="6928" max="6928" width="2.140625" style="12" customWidth="1"/>
    <col min="6929" max="6929" width="11.85546875" style="12" customWidth="1"/>
    <col min="6930" max="6930" width="5.7109375" style="12" bestFit="1" customWidth="1"/>
    <col min="6931" max="7168" width="9.140625" style="12"/>
    <col min="7169" max="7169" width="27.42578125" style="12" customWidth="1"/>
    <col min="7170" max="7178" width="9" style="12" customWidth="1"/>
    <col min="7179" max="7181" width="0" style="12" hidden="1" customWidth="1"/>
    <col min="7182" max="7182" width="2.140625" style="12" customWidth="1"/>
    <col min="7183" max="7183" width="11.5703125" style="12" customWidth="1"/>
    <col min="7184" max="7184" width="2.140625" style="12" customWidth="1"/>
    <col min="7185" max="7185" width="11.85546875" style="12" customWidth="1"/>
    <col min="7186" max="7186" width="5.7109375" style="12" bestFit="1" customWidth="1"/>
    <col min="7187" max="7424" width="9.140625" style="12"/>
    <col min="7425" max="7425" width="27.42578125" style="12" customWidth="1"/>
    <col min="7426" max="7434" width="9" style="12" customWidth="1"/>
    <col min="7435" max="7437" width="0" style="12" hidden="1" customWidth="1"/>
    <col min="7438" max="7438" width="2.140625" style="12" customWidth="1"/>
    <col min="7439" max="7439" width="11.5703125" style="12" customWidth="1"/>
    <col min="7440" max="7440" width="2.140625" style="12" customWidth="1"/>
    <col min="7441" max="7441" width="11.85546875" style="12" customWidth="1"/>
    <col min="7442" max="7442" width="5.7109375" style="12" bestFit="1" customWidth="1"/>
    <col min="7443" max="7680" width="9.140625" style="12"/>
    <col min="7681" max="7681" width="27.42578125" style="12" customWidth="1"/>
    <col min="7682" max="7690" width="9" style="12" customWidth="1"/>
    <col min="7691" max="7693" width="0" style="12" hidden="1" customWidth="1"/>
    <col min="7694" max="7694" width="2.140625" style="12" customWidth="1"/>
    <col min="7695" max="7695" width="11.5703125" style="12" customWidth="1"/>
    <col min="7696" max="7696" width="2.140625" style="12" customWidth="1"/>
    <col min="7697" max="7697" width="11.85546875" style="12" customWidth="1"/>
    <col min="7698" max="7698" width="5.7109375" style="12" bestFit="1" customWidth="1"/>
    <col min="7699" max="7936" width="9.140625" style="12"/>
    <col min="7937" max="7937" width="27.42578125" style="12" customWidth="1"/>
    <col min="7938" max="7946" width="9" style="12" customWidth="1"/>
    <col min="7947" max="7949" width="0" style="12" hidden="1" customWidth="1"/>
    <col min="7950" max="7950" width="2.140625" style="12" customWidth="1"/>
    <col min="7951" max="7951" width="11.5703125" style="12" customWidth="1"/>
    <col min="7952" max="7952" width="2.140625" style="12" customWidth="1"/>
    <col min="7953" max="7953" width="11.85546875" style="12" customWidth="1"/>
    <col min="7954" max="7954" width="5.7109375" style="12" bestFit="1" customWidth="1"/>
    <col min="7955" max="8192" width="9.140625" style="12"/>
    <col min="8193" max="8193" width="27.42578125" style="12" customWidth="1"/>
    <col min="8194" max="8202" width="9" style="12" customWidth="1"/>
    <col min="8203" max="8205" width="0" style="12" hidden="1" customWidth="1"/>
    <col min="8206" max="8206" width="2.140625" style="12" customWidth="1"/>
    <col min="8207" max="8207" width="11.5703125" style="12" customWidth="1"/>
    <col min="8208" max="8208" width="2.140625" style="12" customWidth="1"/>
    <col min="8209" max="8209" width="11.85546875" style="12" customWidth="1"/>
    <col min="8210" max="8210" width="5.7109375" style="12" bestFit="1" customWidth="1"/>
    <col min="8211" max="8448" width="9.140625" style="12"/>
    <col min="8449" max="8449" width="27.42578125" style="12" customWidth="1"/>
    <col min="8450" max="8458" width="9" style="12" customWidth="1"/>
    <col min="8459" max="8461" width="0" style="12" hidden="1" customWidth="1"/>
    <col min="8462" max="8462" width="2.140625" style="12" customWidth="1"/>
    <col min="8463" max="8463" width="11.5703125" style="12" customWidth="1"/>
    <col min="8464" max="8464" width="2.140625" style="12" customWidth="1"/>
    <col min="8465" max="8465" width="11.85546875" style="12" customWidth="1"/>
    <col min="8466" max="8466" width="5.7109375" style="12" bestFit="1" customWidth="1"/>
    <col min="8467" max="8704" width="9.140625" style="12"/>
    <col min="8705" max="8705" width="27.42578125" style="12" customWidth="1"/>
    <col min="8706" max="8714" width="9" style="12" customWidth="1"/>
    <col min="8715" max="8717" width="0" style="12" hidden="1" customWidth="1"/>
    <col min="8718" max="8718" width="2.140625" style="12" customWidth="1"/>
    <col min="8719" max="8719" width="11.5703125" style="12" customWidth="1"/>
    <col min="8720" max="8720" width="2.140625" style="12" customWidth="1"/>
    <col min="8721" max="8721" width="11.85546875" style="12" customWidth="1"/>
    <col min="8722" max="8722" width="5.7109375" style="12" bestFit="1" customWidth="1"/>
    <col min="8723" max="8960" width="9.140625" style="12"/>
    <col min="8961" max="8961" width="27.42578125" style="12" customWidth="1"/>
    <col min="8962" max="8970" width="9" style="12" customWidth="1"/>
    <col min="8971" max="8973" width="0" style="12" hidden="1" customWidth="1"/>
    <col min="8974" max="8974" width="2.140625" style="12" customWidth="1"/>
    <col min="8975" max="8975" width="11.5703125" style="12" customWidth="1"/>
    <col min="8976" max="8976" width="2.140625" style="12" customWidth="1"/>
    <col min="8977" max="8977" width="11.85546875" style="12" customWidth="1"/>
    <col min="8978" max="8978" width="5.7109375" style="12" bestFit="1" customWidth="1"/>
    <col min="8979" max="9216" width="9.140625" style="12"/>
    <col min="9217" max="9217" width="27.42578125" style="12" customWidth="1"/>
    <col min="9218" max="9226" width="9" style="12" customWidth="1"/>
    <col min="9227" max="9229" width="0" style="12" hidden="1" customWidth="1"/>
    <col min="9230" max="9230" width="2.140625" style="12" customWidth="1"/>
    <col min="9231" max="9231" width="11.5703125" style="12" customWidth="1"/>
    <col min="9232" max="9232" width="2.140625" style="12" customWidth="1"/>
    <col min="9233" max="9233" width="11.85546875" style="12" customWidth="1"/>
    <col min="9234" max="9234" width="5.7109375" style="12" bestFit="1" customWidth="1"/>
    <col min="9235" max="9472" width="9.140625" style="12"/>
    <col min="9473" max="9473" width="27.42578125" style="12" customWidth="1"/>
    <col min="9474" max="9482" width="9" style="12" customWidth="1"/>
    <col min="9483" max="9485" width="0" style="12" hidden="1" customWidth="1"/>
    <col min="9486" max="9486" width="2.140625" style="12" customWidth="1"/>
    <col min="9487" max="9487" width="11.5703125" style="12" customWidth="1"/>
    <col min="9488" max="9488" width="2.140625" style="12" customWidth="1"/>
    <col min="9489" max="9489" width="11.85546875" style="12" customWidth="1"/>
    <col min="9490" max="9490" width="5.7109375" style="12" bestFit="1" customWidth="1"/>
    <col min="9491" max="9728" width="9.140625" style="12"/>
    <col min="9729" max="9729" width="27.42578125" style="12" customWidth="1"/>
    <col min="9730" max="9738" width="9" style="12" customWidth="1"/>
    <col min="9739" max="9741" width="0" style="12" hidden="1" customWidth="1"/>
    <col min="9742" max="9742" width="2.140625" style="12" customWidth="1"/>
    <col min="9743" max="9743" width="11.5703125" style="12" customWidth="1"/>
    <col min="9744" max="9744" width="2.140625" style="12" customWidth="1"/>
    <col min="9745" max="9745" width="11.85546875" style="12" customWidth="1"/>
    <col min="9746" max="9746" width="5.7109375" style="12" bestFit="1" customWidth="1"/>
    <col min="9747" max="9984" width="9.140625" style="12"/>
    <col min="9985" max="9985" width="27.42578125" style="12" customWidth="1"/>
    <col min="9986" max="9994" width="9" style="12" customWidth="1"/>
    <col min="9995" max="9997" width="0" style="12" hidden="1" customWidth="1"/>
    <col min="9998" max="9998" width="2.140625" style="12" customWidth="1"/>
    <col min="9999" max="9999" width="11.5703125" style="12" customWidth="1"/>
    <col min="10000" max="10000" width="2.140625" style="12" customWidth="1"/>
    <col min="10001" max="10001" width="11.85546875" style="12" customWidth="1"/>
    <col min="10002" max="10002" width="5.7109375" style="12" bestFit="1" customWidth="1"/>
    <col min="10003" max="10240" width="9.140625" style="12"/>
    <col min="10241" max="10241" width="27.42578125" style="12" customWidth="1"/>
    <col min="10242" max="10250" width="9" style="12" customWidth="1"/>
    <col min="10251" max="10253" width="0" style="12" hidden="1" customWidth="1"/>
    <col min="10254" max="10254" width="2.140625" style="12" customWidth="1"/>
    <col min="10255" max="10255" width="11.5703125" style="12" customWidth="1"/>
    <col min="10256" max="10256" width="2.140625" style="12" customWidth="1"/>
    <col min="10257" max="10257" width="11.85546875" style="12" customWidth="1"/>
    <col min="10258" max="10258" width="5.7109375" style="12" bestFit="1" customWidth="1"/>
    <col min="10259" max="10496" width="9.140625" style="12"/>
    <col min="10497" max="10497" width="27.42578125" style="12" customWidth="1"/>
    <col min="10498" max="10506" width="9" style="12" customWidth="1"/>
    <col min="10507" max="10509" width="0" style="12" hidden="1" customWidth="1"/>
    <col min="10510" max="10510" width="2.140625" style="12" customWidth="1"/>
    <col min="10511" max="10511" width="11.5703125" style="12" customWidth="1"/>
    <col min="10512" max="10512" width="2.140625" style="12" customWidth="1"/>
    <col min="10513" max="10513" width="11.85546875" style="12" customWidth="1"/>
    <col min="10514" max="10514" width="5.7109375" style="12" bestFit="1" customWidth="1"/>
    <col min="10515" max="10752" width="9.140625" style="12"/>
    <col min="10753" max="10753" width="27.42578125" style="12" customWidth="1"/>
    <col min="10754" max="10762" width="9" style="12" customWidth="1"/>
    <col min="10763" max="10765" width="0" style="12" hidden="1" customWidth="1"/>
    <col min="10766" max="10766" width="2.140625" style="12" customWidth="1"/>
    <col min="10767" max="10767" width="11.5703125" style="12" customWidth="1"/>
    <col min="10768" max="10768" width="2.140625" style="12" customWidth="1"/>
    <col min="10769" max="10769" width="11.85546875" style="12" customWidth="1"/>
    <col min="10770" max="10770" width="5.7109375" style="12" bestFit="1" customWidth="1"/>
    <col min="10771" max="11008" width="9.140625" style="12"/>
    <col min="11009" max="11009" width="27.42578125" style="12" customWidth="1"/>
    <col min="11010" max="11018" width="9" style="12" customWidth="1"/>
    <col min="11019" max="11021" width="0" style="12" hidden="1" customWidth="1"/>
    <col min="11022" max="11022" width="2.140625" style="12" customWidth="1"/>
    <col min="11023" max="11023" width="11.5703125" style="12" customWidth="1"/>
    <col min="11024" max="11024" width="2.140625" style="12" customWidth="1"/>
    <col min="11025" max="11025" width="11.85546875" style="12" customWidth="1"/>
    <col min="11026" max="11026" width="5.7109375" style="12" bestFit="1" customWidth="1"/>
    <col min="11027" max="11264" width="9.140625" style="12"/>
    <col min="11265" max="11265" width="27.42578125" style="12" customWidth="1"/>
    <col min="11266" max="11274" width="9" style="12" customWidth="1"/>
    <col min="11275" max="11277" width="0" style="12" hidden="1" customWidth="1"/>
    <col min="11278" max="11278" width="2.140625" style="12" customWidth="1"/>
    <col min="11279" max="11279" width="11.5703125" style="12" customWidth="1"/>
    <col min="11280" max="11280" width="2.140625" style="12" customWidth="1"/>
    <col min="11281" max="11281" width="11.85546875" style="12" customWidth="1"/>
    <col min="11282" max="11282" width="5.7109375" style="12" bestFit="1" customWidth="1"/>
    <col min="11283" max="11520" width="9.140625" style="12"/>
    <col min="11521" max="11521" width="27.42578125" style="12" customWidth="1"/>
    <col min="11522" max="11530" width="9" style="12" customWidth="1"/>
    <col min="11531" max="11533" width="0" style="12" hidden="1" customWidth="1"/>
    <col min="11534" max="11534" width="2.140625" style="12" customWidth="1"/>
    <col min="11535" max="11535" width="11.5703125" style="12" customWidth="1"/>
    <col min="11536" max="11536" width="2.140625" style="12" customWidth="1"/>
    <col min="11537" max="11537" width="11.85546875" style="12" customWidth="1"/>
    <col min="11538" max="11538" width="5.7109375" style="12" bestFit="1" customWidth="1"/>
    <col min="11539" max="11776" width="9.140625" style="12"/>
    <col min="11777" max="11777" width="27.42578125" style="12" customWidth="1"/>
    <col min="11778" max="11786" width="9" style="12" customWidth="1"/>
    <col min="11787" max="11789" width="0" style="12" hidden="1" customWidth="1"/>
    <col min="11790" max="11790" width="2.140625" style="12" customWidth="1"/>
    <col min="11791" max="11791" width="11.5703125" style="12" customWidth="1"/>
    <col min="11792" max="11792" width="2.140625" style="12" customWidth="1"/>
    <col min="11793" max="11793" width="11.85546875" style="12" customWidth="1"/>
    <col min="11794" max="11794" width="5.7109375" style="12" bestFit="1" customWidth="1"/>
    <col min="11795" max="12032" width="9.140625" style="12"/>
    <col min="12033" max="12033" width="27.42578125" style="12" customWidth="1"/>
    <col min="12034" max="12042" width="9" style="12" customWidth="1"/>
    <col min="12043" max="12045" width="0" style="12" hidden="1" customWidth="1"/>
    <col min="12046" max="12046" width="2.140625" style="12" customWidth="1"/>
    <col min="12047" max="12047" width="11.5703125" style="12" customWidth="1"/>
    <col min="12048" max="12048" width="2.140625" style="12" customWidth="1"/>
    <col min="12049" max="12049" width="11.85546875" style="12" customWidth="1"/>
    <col min="12050" max="12050" width="5.7109375" style="12" bestFit="1" customWidth="1"/>
    <col min="12051" max="12288" width="9.140625" style="12"/>
    <col min="12289" max="12289" width="27.42578125" style="12" customWidth="1"/>
    <col min="12290" max="12298" width="9" style="12" customWidth="1"/>
    <col min="12299" max="12301" width="0" style="12" hidden="1" customWidth="1"/>
    <col min="12302" max="12302" width="2.140625" style="12" customWidth="1"/>
    <col min="12303" max="12303" width="11.5703125" style="12" customWidth="1"/>
    <col min="12304" max="12304" width="2.140625" style="12" customWidth="1"/>
    <col min="12305" max="12305" width="11.85546875" style="12" customWidth="1"/>
    <col min="12306" max="12306" width="5.7109375" style="12" bestFit="1" customWidth="1"/>
    <col min="12307" max="12544" width="9.140625" style="12"/>
    <col min="12545" max="12545" width="27.42578125" style="12" customWidth="1"/>
    <col min="12546" max="12554" width="9" style="12" customWidth="1"/>
    <col min="12555" max="12557" width="0" style="12" hidden="1" customWidth="1"/>
    <col min="12558" max="12558" width="2.140625" style="12" customWidth="1"/>
    <col min="12559" max="12559" width="11.5703125" style="12" customWidth="1"/>
    <col min="12560" max="12560" width="2.140625" style="12" customWidth="1"/>
    <col min="12561" max="12561" width="11.85546875" style="12" customWidth="1"/>
    <col min="12562" max="12562" width="5.7109375" style="12" bestFit="1" customWidth="1"/>
    <col min="12563" max="12800" width="9.140625" style="12"/>
    <col min="12801" max="12801" width="27.42578125" style="12" customWidth="1"/>
    <col min="12802" max="12810" width="9" style="12" customWidth="1"/>
    <col min="12811" max="12813" width="0" style="12" hidden="1" customWidth="1"/>
    <col min="12814" max="12814" width="2.140625" style="12" customWidth="1"/>
    <col min="12815" max="12815" width="11.5703125" style="12" customWidth="1"/>
    <col min="12816" max="12816" width="2.140625" style="12" customWidth="1"/>
    <col min="12817" max="12817" width="11.85546875" style="12" customWidth="1"/>
    <col min="12818" max="12818" width="5.7109375" style="12" bestFit="1" customWidth="1"/>
    <col min="12819" max="13056" width="9.140625" style="12"/>
    <col min="13057" max="13057" width="27.42578125" style="12" customWidth="1"/>
    <col min="13058" max="13066" width="9" style="12" customWidth="1"/>
    <col min="13067" max="13069" width="0" style="12" hidden="1" customWidth="1"/>
    <col min="13070" max="13070" width="2.140625" style="12" customWidth="1"/>
    <col min="13071" max="13071" width="11.5703125" style="12" customWidth="1"/>
    <col min="13072" max="13072" width="2.140625" style="12" customWidth="1"/>
    <col min="13073" max="13073" width="11.85546875" style="12" customWidth="1"/>
    <col min="13074" max="13074" width="5.7109375" style="12" bestFit="1" customWidth="1"/>
    <col min="13075" max="13312" width="9.140625" style="12"/>
    <col min="13313" max="13313" width="27.42578125" style="12" customWidth="1"/>
    <col min="13314" max="13322" width="9" style="12" customWidth="1"/>
    <col min="13323" max="13325" width="0" style="12" hidden="1" customWidth="1"/>
    <col min="13326" max="13326" width="2.140625" style="12" customWidth="1"/>
    <col min="13327" max="13327" width="11.5703125" style="12" customWidth="1"/>
    <col min="13328" max="13328" width="2.140625" style="12" customWidth="1"/>
    <col min="13329" max="13329" width="11.85546875" style="12" customWidth="1"/>
    <col min="13330" max="13330" width="5.7109375" style="12" bestFit="1" customWidth="1"/>
    <col min="13331" max="13568" width="9.140625" style="12"/>
    <col min="13569" max="13569" width="27.42578125" style="12" customWidth="1"/>
    <col min="13570" max="13578" width="9" style="12" customWidth="1"/>
    <col min="13579" max="13581" width="0" style="12" hidden="1" customWidth="1"/>
    <col min="13582" max="13582" width="2.140625" style="12" customWidth="1"/>
    <col min="13583" max="13583" width="11.5703125" style="12" customWidth="1"/>
    <col min="13584" max="13584" width="2.140625" style="12" customWidth="1"/>
    <col min="13585" max="13585" width="11.85546875" style="12" customWidth="1"/>
    <col min="13586" max="13586" width="5.7109375" style="12" bestFit="1" customWidth="1"/>
    <col min="13587" max="13824" width="9.140625" style="12"/>
    <col min="13825" max="13825" width="27.42578125" style="12" customWidth="1"/>
    <col min="13826" max="13834" width="9" style="12" customWidth="1"/>
    <col min="13835" max="13837" width="0" style="12" hidden="1" customWidth="1"/>
    <col min="13838" max="13838" width="2.140625" style="12" customWidth="1"/>
    <col min="13839" max="13839" width="11.5703125" style="12" customWidth="1"/>
    <col min="13840" max="13840" width="2.140625" style="12" customWidth="1"/>
    <col min="13841" max="13841" width="11.85546875" style="12" customWidth="1"/>
    <col min="13842" max="13842" width="5.7109375" style="12" bestFit="1" customWidth="1"/>
    <col min="13843" max="14080" width="9.140625" style="12"/>
    <col min="14081" max="14081" width="27.42578125" style="12" customWidth="1"/>
    <col min="14082" max="14090" width="9" style="12" customWidth="1"/>
    <col min="14091" max="14093" width="0" style="12" hidden="1" customWidth="1"/>
    <col min="14094" max="14094" width="2.140625" style="12" customWidth="1"/>
    <col min="14095" max="14095" width="11.5703125" style="12" customWidth="1"/>
    <col min="14096" max="14096" width="2.140625" style="12" customWidth="1"/>
    <col min="14097" max="14097" width="11.85546875" style="12" customWidth="1"/>
    <col min="14098" max="14098" width="5.7109375" style="12" bestFit="1" customWidth="1"/>
    <col min="14099" max="14336" width="9.140625" style="12"/>
    <col min="14337" max="14337" width="27.42578125" style="12" customWidth="1"/>
    <col min="14338" max="14346" width="9" style="12" customWidth="1"/>
    <col min="14347" max="14349" width="0" style="12" hidden="1" customWidth="1"/>
    <col min="14350" max="14350" width="2.140625" style="12" customWidth="1"/>
    <col min="14351" max="14351" width="11.5703125" style="12" customWidth="1"/>
    <col min="14352" max="14352" width="2.140625" style="12" customWidth="1"/>
    <col min="14353" max="14353" width="11.85546875" style="12" customWidth="1"/>
    <col min="14354" max="14354" width="5.7109375" style="12" bestFit="1" customWidth="1"/>
    <col min="14355" max="14592" width="9.140625" style="12"/>
    <col min="14593" max="14593" width="27.42578125" style="12" customWidth="1"/>
    <col min="14594" max="14602" width="9" style="12" customWidth="1"/>
    <col min="14603" max="14605" width="0" style="12" hidden="1" customWidth="1"/>
    <col min="14606" max="14606" width="2.140625" style="12" customWidth="1"/>
    <col min="14607" max="14607" width="11.5703125" style="12" customWidth="1"/>
    <col min="14608" max="14608" width="2.140625" style="12" customWidth="1"/>
    <col min="14609" max="14609" width="11.85546875" style="12" customWidth="1"/>
    <col min="14610" max="14610" width="5.7109375" style="12" bestFit="1" customWidth="1"/>
    <col min="14611" max="14848" width="9.140625" style="12"/>
    <col min="14849" max="14849" width="27.42578125" style="12" customWidth="1"/>
    <col min="14850" max="14858" width="9" style="12" customWidth="1"/>
    <col min="14859" max="14861" width="0" style="12" hidden="1" customWidth="1"/>
    <col min="14862" max="14862" width="2.140625" style="12" customWidth="1"/>
    <col min="14863" max="14863" width="11.5703125" style="12" customWidth="1"/>
    <col min="14864" max="14864" width="2.140625" style="12" customWidth="1"/>
    <col min="14865" max="14865" width="11.85546875" style="12" customWidth="1"/>
    <col min="14866" max="14866" width="5.7109375" style="12" bestFit="1" customWidth="1"/>
    <col min="14867" max="15104" width="9.140625" style="12"/>
    <col min="15105" max="15105" width="27.42578125" style="12" customWidth="1"/>
    <col min="15106" max="15114" width="9" style="12" customWidth="1"/>
    <col min="15115" max="15117" width="0" style="12" hidden="1" customWidth="1"/>
    <col min="15118" max="15118" width="2.140625" style="12" customWidth="1"/>
    <col min="15119" max="15119" width="11.5703125" style="12" customWidth="1"/>
    <col min="15120" max="15120" width="2.140625" style="12" customWidth="1"/>
    <col min="15121" max="15121" width="11.85546875" style="12" customWidth="1"/>
    <col min="15122" max="15122" width="5.7109375" style="12" bestFit="1" customWidth="1"/>
    <col min="15123" max="15360" width="9.140625" style="12"/>
    <col min="15361" max="15361" width="27.42578125" style="12" customWidth="1"/>
    <col min="15362" max="15370" width="9" style="12" customWidth="1"/>
    <col min="15371" max="15373" width="0" style="12" hidden="1" customWidth="1"/>
    <col min="15374" max="15374" width="2.140625" style="12" customWidth="1"/>
    <col min="15375" max="15375" width="11.5703125" style="12" customWidth="1"/>
    <col min="15376" max="15376" width="2.140625" style="12" customWidth="1"/>
    <col min="15377" max="15377" width="11.85546875" style="12" customWidth="1"/>
    <col min="15378" max="15378" width="5.7109375" style="12" bestFit="1" customWidth="1"/>
    <col min="15379" max="15616" width="9.140625" style="12"/>
    <col min="15617" max="15617" width="27.42578125" style="12" customWidth="1"/>
    <col min="15618" max="15626" width="9" style="12" customWidth="1"/>
    <col min="15627" max="15629" width="0" style="12" hidden="1" customWidth="1"/>
    <col min="15630" max="15630" width="2.140625" style="12" customWidth="1"/>
    <col min="15631" max="15631" width="11.5703125" style="12" customWidth="1"/>
    <col min="15632" max="15632" width="2.140625" style="12" customWidth="1"/>
    <col min="15633" max="15633" width="11.85546875" style="12" customWidth="1"/>
    <col min="15634" max="15634" width="5.7109375" style="12" bestFit="1" customWidth="1"/>
    <col min="15635" max="15872" width="9.140625" style="12"/>
    <col min="15873" max="15873" width="27.42578125" style="12" customWidth="1"/>
    <col min="15874" max="15882" width="9" style="12" customWidth="1"/>
    <col min="15883" max="15885" width="0" style="12" hidden="1" customWidth="1"/>
    <col min="15886" max="15886" width="2.140625" style="12" customWidth="1"/>
    <col min="15887" max="15887" width="11.5703125" style="12" customWidth="1"/>
    <col min="15888" max="15888" width="2.140625" style="12" customWidth="1"/>
    <col min="15889" max="15889" width="11.85546875" style="12" customWidth="1"/>
    <col min="15890" max="15890" width="5.7109375" style="12" bestFit="1" customWidth="1"/>
    <col min="15891" max="16128" width="9.140625" style="12"/>
    <col min="16129" max="16129" width="27.42578125" style="12" customWidth="1"/>
    <col min="16130" max="16138" width="9" style="12" customWidth="1"/>
    <col min="16139" max="16141" width="0" style="12" hidden="1" customWidth="1"/>
    <col min="16142" max="16142" width="2.140625" style="12" customWidth="1"/>
    <col min="16143" max="16143" width="11.5703125" style="12" customWidth="1"/>
    <col min="16144" max="16144" width="2.140625" style="12" customWidth="1"/>
    <col min="16145" max="16145" width="11.85546875" style="12" customWidth="1"/>
    <col min="16146" max="16146" width="5.7109375" style="12" bestFit="1" customWidth="1"/>
    <col min="16147" max="16384" width="9.140625" style="12"/>
  </cols>
  <sheetData>
    <row r="1" spans="1:18" ht="27" customHeight="1" x14ac:dyDescent="0.35">
      <c r="A1" s="134" t="s">
        <v>335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3" spans="1:18" s="5" customFormat="1" x14ac:dyDescent="0.2">
      <c r="A3" s="2" t="s">
        <v>318</v>
      </c>
      <c r="B3" s="3" t="s">
        <v>218</v>
      </c>
      <c r="C3" s="3" t="s">
        <v>219</v>
      </c>
      <c r="D3" s="3" t="s">
        <v>220</v>
      </c>
      <c r="E3" s="3" t="s">
        <v>221</v>
      </c>
      <c r="F3" s="3" t="s">
        <v>222</v>
      </c>
      <c r="G3" s="3" t="s">
        <v>223</v>
      </c>
      <c r="H3" s="3" t="s">
        <v>224</v>
      </c>
      <c r="I3" s="3" t="s">
        <v>225</v>
      </c>
      <c r="J3" s="3" t="s">
        <v>226</v>
      </c>
      <c r="K3" s="3" t="s">
        <v>227</v>
      </c>
      <c r="L3" s="3" t="s">
        <v>228</v>
      </c>
      <c r="M3" s="3" t="s">
        <v>229</v>
      </c>
      <c r="N3" s="4"/>
      <c r="O3" s="3" t="s">
        <v>307</v>
      </c>
      <c r="P3" s="4"/>
      <c r="Q3" s="3" t="s">
        <v>231</v>
      </c>
      <c r="R3" s="3" t="s">
        <v>232</v>
      </c>
    </row>
    <row r="4" spans="1:18" s="5" customFormat="1" hidden="1" x14ac:dyDescent="0.2">
      <c r="A4" s="6"/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  <c r="N4" s="4"/>
      <c r="O4" s="7"/>
      <c r="P4" s="4"/>
      <c r="Q4" s="7">
        <f>[1]MOV.FINANCEIRO!AC4</f>
        <v>12</v>
      </c>
      <c r="R4" s="7"/>
    </row>
    <row r="5" spans="1:18" s="5" customFormat="1" ht="18" customHeight="1" x14ac:dyDescent="0.2">
      <c r="A5" s="8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">
      <c r="A6" s="9" t="s">
        <v>241</v>
      </c>
      <c r="B6" s="10">
        <v>67332.299999999988</v>
      </c>
      <c r="C6" s="10">
        <v>74679.799999999988</v>
      </c>
      <c r="D6" s="10">
        <v>73026.169999999984</v>
      </c>
      <c r="E6" s="10">
        <v>81345.5</v>
      </c>
      <c r="F6" s="10">
        <v>83040.570000000007</v>
      </c>
      <c r="G6" s="10">
        <v>75250.290000000008</v>
      </c>
      <c r="H6" s="10">
        <v>69567.040000000008</v>
      </c>
      <c r="I6" s="10">
        <v>78988.38</v>
      </c>
      <c r="J6" s="10">
        <v>77651.95</v>
      </c>
      <c r="K6" s="10">
        <v>69979.200000000012</v>
      </c>
      <c r="L6" s="10">
        <v>75261.81</v>
      </c>
      <c r="M6" s="10">
        <v>68080.23</v>
      </c>
      <c r="N6" s="11"/>
      <c r="O6" s="10">
        <f>SUM(B6:N6)</f>
        <v>894203.24</v>
      </c>
      <c r="P6" s="11"/>
      <c r="Q6" s="10">
        <f>O6/$Q$4</f>
        <v>74516.936666666661</v>
      </c>
    </row>
    <row r="7" spans="1:18" x14ac:dyDescent="0.2">
      <c r="A7" s="9" t="s">
        <v>233</v>
      </c>
      <c r="B7" s="10">
        <v>806.13</v>
      </c>
      <c r="C7" s="10">
        <v>1315.99</v>
      </c>
      <c r="D7" s="10">
        <v>1615.63</v>
      </c>
      <c r="E7" s="10">
        <v>2736.73</v>
      </c>
      <c r="F7" s="10">
        <v>2576.59</v>
      </c>
      <c r="G7" s="10">
        <v>3049.01</v>
      </c>
      <c r="H7" s="10">
        <v>8927.48</v>
      </c>
      <c r="I7" s="10">
        <v>13605.41</v>
      </c>
      <c r="J7" s="10">
        <v>2629.29</v>
      </c>
      <c r="K7" s="10">
        <v>2471.7400000000002</v>
      </c>
      <c r="L7" s="10">
        <v>2344.31</v>
      </c>
      <c r="M7" s="10">
        <v>2597.7600000000002</v>
      </c>
      <c r="N7" s="11"/>
      <c r="O7" s="10">
        <f>SUM(B7:N7)</f>
        <v>44676.07</v>
      </c>
      <c r="P7" s="11"/>
      <c r="Q7" s="10">
        <f>O7/$Q$4</f>
        <v>3723.0058333333332</v>
      </c>
    </row>
    <row r="8" spans="1:18" s="5" customFormat="1" x14ac:dyDescent="0.2">
      <c r="A8" s="15" t="s">
        <v>234</v>
      </c>
      <c r="B8" s="16">
        <f t="shared" ref="B8:M8" si="0">SUM(B6:B7)</f>
        <v>68138.429999999993</v>
      </c>
      <c r="C8" s="16">
        <f t="shared" si="0"/>
        <v>75995.789999999994</v>
      </c>
      <c r="D8" s="16">
        <f t="shared" si="0"/>
        <v>74641.799999999988</v>
      </c>
      <c r="E8" s="16">
        <f t="shared" si="0"/>
        <v>84082.23</v>
      </c>
      <c r="F8" s="16">
        <f t="shared" si="0"/>
        <v>85617.16</v>
      </c>
      <c r="G8" s="16">
        <f t="shared" si="0"/>
        <v>78299.3</v>
      </c>
      <c r="H8" s="16">
        <f t="shared" si="0"/>
        <v>78494.52</v>
      </c>
      <c r="I8" s="16">
        <f t="shared" si="0"/>
        <v>92593.790000000008</v>
      </c>
      <c r="J8" s="16">
        <f t="shared" si="0"/>
        <v>80281.239999999991</v>
      </c>
      <c r="K8" s="16">
        <f t="shared" si="0"/>
        <v>72450.940000000017</v>
      </c>
      <c r="L8" s="16">
        <f t="shared" si="0"/>
        <v>77606.12</v>
      </c>
      <c r="M8" s="16">
        <f t="shared" si="0"/>
        <v>70677.989999999991</v>
      </c>
      <c r="N8" s="17"/>
      <c r="O8" s="16">
        <f>SUM(O6:O7)</f>
        <v>938879.30999999994</v>
      </c>
      <c r="P8" s="17"/>
      <c r="Q8" s="16">
        <f>SUM(Q6:Q7)</f>
        <v>78239.94249999999</v>
      </c>
      <c r="R8" s="18">
        <v>1</v>
      </c>
    </row>
    <row r="9" spans="1:18" s="5" customFormat="1" x14ac:dyDescent="0.2">
      <c r="A9" s="2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28"/>
    </row>
    <row r="10" spans="1:18" s="5" customFormat="1" ht="18.75" customHeight="1" x14ac:dyDescent="0.2">
      <c r="A10" s="8" t="s">
        <v>256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2">
      <c r="A11" s="13" t="s">
        <v>242</v>
      </c>
      <c r="B11" s="10">
        <v>29232.11</v>
      </c>
      <c r="C11" s="10">
        <v>35643.719999999994</v>
      </c>
      <c r="D11" s="10">
        <v>27759.8</v>
      </c>
      <c r="E11" s="10">
        <v>36253.229999999996</v>
      </c>
      <c r="F11" s="10">
        <v>29746.110000000004</v>
      </c>
      <c r="G11" s="10">
        <v>32096.900000000012</v>
      </c>
      <c r="H11" s="10">
        <v>43332.97</v>
      </c>
      <c r="I11" s="10">
        <v>47710.5</v>
      </c>
      <c r="J11" s="10">
        <v>41125</v>
      </c>
      <c r="K11" s="10">
        <v>49418.090000000011</v>
      </c>
      <c r="L11" s="10">
        <v>46753.729999999996</v>
      </c>
      <c r="M11" s="10">
        <v>41147.15</v>
      </c>
      <c r="N11" s="17"/>
      <c r="O11" s="10">
        <f t="shared" ref="O11:O30" si="1">SUM(B11:N11)</f>
        <v>460219.31000000006</v>
      </c>
      <c r="P11" s="17"/>
      <c r="Q11" s="10">
        <f t="shared" ref="Q11:Q17" si="2">O11/$Q$4</f>
        <v>38351.609166666669</v>
      </c>
      <c r="R11" s="19">
        <f>O11/$O$8</f>
        <v>0.49017941400796239</v>
      </c>
    </row>
    <row r="12" spans="1:18" x14ac:dyDescent="0.2">
      <c r="A12" s="13" t="s">
        <v>243</v>
      </c>
      <c r="B12" s="10">
        <v>259.7</v>
      </c>
      <c r="C12" s="10">
        <v>0</v>
      </c>
      <c r="D12" s="10">
        <v>300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7"/>
      <c r="O12" s="10">
        <f t="shared" si="1"/>
        <v>559.70000000000005</v>
      </c>
      <c r="P12" s="17"/>
      <c r="Q12" s="10">
        <f t="shared" si="2"/>
        <v>46.641666666666673</v>
      </c>
      <c r="R12" s="19">
        <f t="shared" ref="R12:R17" si="3">O12/$O$8</f>
        <v>5.9613625951561347E-4</v>
      </c>
    </row>
    <row r="13" spans="1:18" hidden="1" x14ac:dyDescent="0.2">
      <c r="A13" s="13" t="s">
        <v>244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1"/>
      <c r="O13" s="10">
        <f t="shared" si="1"/>
        <v>0</v>
      </c>
      <c r="P13" s="17"/>
      <c r="Q13" s="10">
        <f t="shared" si="2"/>
        <v>0</v>
      </c>
      <c r="R13" s="19">
        <f t="shared" si="3"/>
        <v>0</v>
      </c>
    </row>
    <row r="14" spans="1:18" x14ac:dyDescent="0.2">
      <c r="A14" s="13" t="s">
        <v>245</v>
      </c>
      <c r="B14" s="10">
        <v>3111.4</v>
      </c>
      <c r="C14" s="10">
        <v>13612.45</v>
      </c>
      <c r="D14" s="10">
        <v>5411.25</v>
      </c>
      <c r="E14" s="10">
        <v>24009.040000000005</v>
      </c>
      <c r="F14" s="10">
        <v>18975.310000000001</v>
      </c>
      <c r="G14" s="10">
        <v>25761.62</v>
      </c>
      <c r="H14" s="10">
        <v>4686.1400000000003</v>
      </c>
      <c r="I14" s="10">
        <v>2423.29</v>
      </c>
      <c r="J14" s="10">
        <v>7434</v>
      </c>
      <c r="K14" s="10">
        <v>15701.06</v>
      </c>
      <c r="L14" s="10">
        <v>0</v>
      </c>
      <c r="M14" s="10">
        <v>0</v>
      </c>
      <c r="N14" s="11"/>
      <c r="O14" s="10">
        <f t="shared" si="1"/>
        <v>121125.56</v>
      </c>
      <c r="P14" s="17"/>
      <c r="Q14" s="10">
        <f t="shared" si="2"/>
        <v>10093.796666666667</v>
      </c>
      <c r="R14" s="19">
        <f t="shared" si="3"/>
        <v>0.12901078840474184</v>
      </c>
    </row>
    <row r="15" spans="1:18" hidden="1" x14ac:dyDescent="0.2">
      <c r="A15" s="13" t="s">
        <v>246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1"/>
      <c r="O15" s="10">
        <f t="shared" si="1"/>
        <v>0</v>
      </c>
      <c r="P15" s="17"/>
      <c r="Q15" s="10">
        <f t="shared" si="2"/>
        <v>0</v>
      </c>
      <c r="R15" s="19">
        <f t="shared" si="3"/>
        <v>0</v>
      </c>
    </row>
    <row r="16" spans="1:18" x14ac:dyDescent="0.2">
      <c r="A16" s="13" t="s">
        <v>247</v>
      </c>
      <c r="B16" s="10">
        <v>8139.52</v>
      </c>
      <c r="C16" s="10">
        <v>7099.3500000000022</v>
      </c>
      <c r="D16" s="10">
        <v>6257.7099999999991</v>
      </c>
      <c r="E16" s="10">
        <v>9768.2200000000012</v>
      </c>
      <c r="F16" s="10">
        <v>11527.519999999997</v>
      </c>
      <c r="G16" s="10">
        <v>9695.07</v>
      </c>
      <c r="H16" s="10">
        <v>9554.84</v>
      </c>
      <c r="I16" s="10">
        <v>25820.119999999995</v>
      </c>
      <c r="J16" s="10">
        <v>10492.18</v>
      </c>
      <c r="K16" s="10">
        <v>4588.24</v>
      </c>
      <c r="L16" s="10">
        <v>10788.24</v>
      </c>
      <c r="M16" s="10">
        <v>6611.1100000000006</v>
      </c>
      <c r="N16" s="11"/>
      <c r="O16" s="10">
        <f t="shared" si="1"/>
        <v>120342.12000000001</v>
      </c>
      <c r="P16" s="17"/>
      <c r="Q16" s="10">
        <f t="shared" si="2"/>
        <v>10028.51</v>
      </c>
      <c r="R16" s="19">
        <f t="shared" si="3"/>
        <v>0.12817634675536732</v>
      </c>
    </row>
    <row r="17" spans="1:18" x14ac:dyDescent="0.2">
      <c r="A17" s="13" t="s">
        <v>248</v>
      </c>
      <c r="B17" s="10">
        <v>3600</v>
      </c>
      <c r="C17" s="10">
        <v>3500</v>
      </c>
      <c r="D17" s="10">
        <v>3500</v>
      </c>
      <c r="E17" s="10">
        <v>3500</v>
      </c>
      <c r="F17" s="10">
        <v>3500</v>
      </c>
      <c r="G17" s="10">
        <v>3500</v>
      </c>
      <c r="H17" s="10">
        <v>3500</v>
      </c>
      <c r="I17" s="10">
        <v>3500</v>
      </c>
      <c r="J17" s="10">
        <v>3500</v>
      </c>
      <c r="K17" s="10">
        <v>3500</v>
      </c>
      <c r="L17" s="10">
        <v>3500</v>
      </c>
      <c r="M17" s="10">
        <v>2000</v>
      </c>
      <c r="N17" s="11"/>
      <c r="O17" s="10">
        <f t="shared" si="1"/>
        <v>40600</v>
      </c>
      <c r="P17" s="17"/>
      <c r="Q17" s="10">
        <f t="shared" si="2"/>
        <v>3383.3333333333335</v>
      </c>
      <c r="R17" s="19">
        <f t="shared" si="3"/>
        <v>4.3243044731702526E-2</v>
      </c>
    </row>
    <row r="18" spans="1:18" s="5" customFormat="1" x14ac:dyDescent="0.2">
      <c r="A18" s="15" t="s">
        <v>260</v>
      </c>
      <c r="B18" s="16">
        <f t="shared" ref="B18:M18" si="4">SUM(B11:B17)</f>
        <v>44342.73</v>
      </c>
      <c r="C18" s="16">
        <f t="shared" si="4"/>
        <v>59855.520000000004</v>
      </c>
      <c r="D18" s="16">
        <f t="shared" si="4"/>
        <v>43228.76</v>
      </c>
      <c r="E18" s="16">
        <f t="shared" si="4"/>
        <v>73530.490000000005</v>
      </c>
      <c r="F18" s="16">
        <f t="shared" si="4"/>
        <v>63748.94</v>
      </c>
      <c r="G18" s="16">
        <f t="shared" si="4"/>
        <v>71053.590000000011</v>
      </c>
      <c r="H18" s="16">
        <f t="shared" si="4"/>
        <v>61073.95</v>
      </c>
      <c r="I18" s="16">
        <f t="shared" si="4"/>
        <v>79453.91</v>
      </c>
      <c r="J18" s="16">
        <f t="shared" si="4"/>
        <v>62551.18</v>
      </c>
      <c r="K18" s="16">
        <f t="shared" si="4"/>
        <v>73207.390000000014</v>
      </c>
      <c r="L18" s="16">
        <f t="shared" si="4"/>
        <v>61041.969999999994</v>
      </c>
      <c r="M18" s="16">
        <f t="shared" si="4"/>
        <v>49758.26</v>
      </c>
      <c r="N18" s="17"/>
      <c r="O18" s="16">
        <f>SUM(O11:O17)</f>
        <v>742846.69000000006</v>
      </c>
      <c r="P18" s="17"/>
      <c r="Q18" s="16">
        <f>SUM(Q11:Q17)</f>
        <v>61903.890833333346</v>
      </c>
      <c r="R18" s="18">
        <f>SUM(R11:R17)</f>
        <v>0.79120573015928963</v>
      </c>
    </row>
    <row r="19" spans="1:18" s="5" customFormat="1" ht="23.25" customHeight="1" x14ac:dyDescent="0.2">
      <c r="A19" s="8" t="s">
        <v>257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">
      <c r="A20" s="13" t="s">
        <v>216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1"/>
      <c r="O20" s="10">
        <f t="shared" ref="O20:O23" si="5">SUM(B20:N20)</f>
        <v>0</v>
      </c>
      <c r="P20" s="11"/>
      <c r="Q20" s="10">
        <f t="shared" ref="Q20:Q23" si="6">O20/$Q$4</f>
        <v>0</v>
      </c>
      <c r="R20" s="19">
        <f t="shared" ref="R20:R23" si="7">O20/$O$8</f>
        <v>0</v>
      </c>
    </row>
    <row r="21" spans="1:18" x14ac:dyDescent="0.2">
      <c r="A21" s="13" t="s">
        <v>258</v>
      </c>
      <c r="B21" s="10">
        <v>6087.9900000000007</v>
      </c>
      <c r="C21" s="10">
        <v>5435.7</v>
      </c>
      <c r="D21" s="10">
        <v>2551</v>
      </c>
      <c r="E21" s="10">
        <v>4004.65</v>
      </c>
      <c r="F21" s="10">
        <v>2383.23</v>
      </c>
      <c r="G21" s="10">
        <v>2378.2299999999996</v>
      </c>
      <c r="H21" s="10">
        <v>4271.3100000000004</v>
      </c>
      <c r="I21" s="10">
        <v>3648.26</v>
      </c>
      <c r="J21" s="10">
        <v>4354.96</v>
      </c>
      <c r="K21" s="10">
        <v>4087.02</v>
      </c>
      <c r="L21" s="10">
        <v>2813.0399999999995</v>
      </c>
      <c r="M21" s="10">
        <v>1682.54</v>
      </c>
      <c r="N21" s="11"/>
      <c r="O21" s="10">
        <f t="shared" si="5"/>
        <v>43697.93</v>
      </c>
      <c r="P21" s="11"/>
      <c r="Q21" s="10">
        <f t="shared" si="6"/>
        <v>3641.4941666666668</v>
      </c>
      <c r="R21" s="19">
        <f t="shared" si="7"/>
        <v>4.654264880967502E-2</v>
      </c>
    </row>
    <row r="22" spans="1:18" x14ac:dyDescent="0.2">
      <c r="A22" s="13" t="s">
        <v>255</v>
      </c>
      <c r="B22" s="10">
        <v>11450.25</v>
      </c>
      <c r="C22" s="10">
        <v>6722.847999999999</v>
      </c>
      <c r="D22" s="10">
        <v>6969.3200000000006</v>
      </c>
      <c r="E22" s="10">
        <v>6925.8700000000008</v>
      </c>
      <c r="F22" s="10">
        <v>7289.6900000000005</v>
      </c>
      <c r="G22" s="10">
        <v>7984.7400000000007</v>
      </c>
      <c r="H22" s="10">
        <v>7103.8</v>
      </c>
      <c r="I22" s="10">
        <v>9004.75</v>
      </c>
      <c r="J22" s="10">
        <v>6908.7500000000009</v>
      </c>
      <c r="K22" s="10">
        <v>6293.7300000000005</v>
      </c>
      <c r="L22" s="10">
        <v>9530.8000000000011</v>
      </c>
      <c r="M22" s="10">
        <v>10802.76</v>
      </c>
      <c r="N22" s="11"/>
      <c r="O22" s="10">
        <f t="shared" si="5"/>
        <v>96987.308000000005</v>
      </c>
      <c r="P22" s="11"/>
      <c r="Q22" s="10">
        <f t="shared" si="6"/>
        <v>8082.2756666666673</v>
      </c>
      <c r="R22" s="19">
        <f t="shared" si="7"/>
        <v>0.10330114527712833</v>
      </c>
    </row>
    <row r="23" spans="1:18" x14ac:dyDescent="0.2">
      <c r="A23" s="13" t="s">
        <v>249</v>
      </c>
      <c r="B23" s="10">
        <v>2407.1</v>
      </c>
      <c r="C23" s="10">
        <v>1846.7599999999998</v>
      </c>
      <c r="D23" s="10">
        <v>2347.9100000000012</v>
      </c>
      <c r="E23" s="10">
        <v>2229.4300000000007</v>
      </c>
      <c r="F23" s="10">
        <v>2638.2400000000011</v>
      </c>
      <c r="G23" s="10">
        <v>2403.4300000000012</v>
      </c>
      <c r="H23" s="10">
        <v>2128.2600000000007</v>
      </c>
      <c r="I23" s="10">
        <v>2416.5600000000009</v>
      </c>
      <c r="J23" s="10">
        <v>2150.9400000000005</v>
      </c>
      <c r="K23" s="10">
        <v>2540.9500000000003</v>
      </c>
      <c r="L23" s="10">
        <v>2349.02</v>
      </c>
      <c r="M23" s="10">
        <v>2251.1900000000005</v>
      </c>
      <c r="N23" s="11"/>
      <c r="O23" s="10">
        <f t="shared" si="5"/>
        <v>27709.790000000008</v>
      </c>
      <c r="P23" s="11"/>
      <c r="Q23" s="10">
        <f t="shared" si="6"/>
        <v>2309.1491666666675</v>
      </c>
      <c r="R23" s="19">
        <f t="shared" si="7"/>
        <v>2.9513686908277922E-2</v>
      </c>
    </row>
    <row r="24" spans="1:18" s="5" customFormat="1" x14ac:dyDescent="0.2">
      <c r="A24" s="15" t="s">
        <v>259</v>
      </c>
      <c r="B24" s="16">
        <f t="shared" ref="B24:M24" si="8">SUM(B20:B23)</f>
        <v>19945.34</v>
      </c>
      <c r="C24" s="16">
        <f t="shared" si="8"/>
        <v>14005.307999999999</v>
      </c>
      <c r="D24" s="16">
        <f t="shared" si="8"/>
        <v>11868.230000000001</v>
      </c>
      <c r="E24" s="16">
        <f t="shared" si="8"/>
        <v>13159.95</v>
      </c>
      <c r="F24" s="16">
        <f t="shared" si="8"/>
        <v>12311.160000000002</v>
      </c>
      <c r="G24" s="16">
        <f t="shared" si="8"/>
        <v>12766.400000000001</v>
      </c>
      <c r="H24" s="16">
        <f t="shared" si="8"/>
        <v>13503.37</v>
      </c>
      <c r="I24" s="16">
        <f t="shared" si="8"/>
        <v>15069.570000000002</v>
      </c>
      <c r="J24" s="16">
        <f t="shared" si="8"/>
        <v>13414.650000000001</v>
      </c>
      <c r="K24" s="16">
        <f t="shared" si="8"/>
        <v>12921.7</v>
      </c>
      <c r="L24" s="16">
        <f t="shared" si="8"/>
        <v>14692.86</v>
      </c>
      <c r="M24" s="16">
        <f t="shared" si="8"/>
        <v>14736.49</v>
      </c>
      <c r="N24" s="17"/>
      <c r="O24" s="16">
        <f>SUM(O20:O23)</f>
        <v>168395.02800000002</v>
      </c>
      <c r="P24" s="17"/>
      <c r="Q24" s="16">
        <f>O24/$Q$4</f>
        <v>14032.919000000002</v>
      </c>
      <c r="R24" s="18">
        <f>SUM(R20:R23)</f>
        <v>0.17935748099508125</v>
      </c>
    </row>
    <row r="25" spans="1:18" s="5" customFormat="1" x14ac:dyDescent="0.2">
      <c r="A25" s="2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28"/>
    </row>
    <row r="26" spans="1:18" s="5" customFormat="1" x14ac:dyDescent="0.2">
      <c r="A26" s="15" t="s">
        <v>334</v>
      </c>
      <c r="B26" s="16">
        <f>B18+B24</f>
        <v>64288.070000000007</v>
      </c>
      <c r="C26" s="16">
        <f t="shared" ref="C26:O26" si="9">C18+C24</f>
        <v>73860.828000000009</v>
      </c>
      <c r="D26" s="16">
        <f t="shared" si="9"/>
        <v>55096.990000000005</v>
      </c>
      <c r="E26" s="16">
        <f t="shared" si="9"/>
        <v>86690.44</v>
      </c>
      <c r="F26" s="16">
        <f t="shared" si="9"/>
        <v>76060.100000000006</v>
      </c>
      <c r="G26" s="16">
        <f t="shared" si="9"/>
        <v>83819.99000000002</v>
      </c>
      <c r="H26" s="16">
        <f t="shared" si="9"/>
        <v>74577.319999999992</v>
      </c>
      <c r="I26" s="16">
        <f t="shared" si="9"/>
        <v>94523.48000000001</v>
      </c>
      <c r="J26" s="16">
        <f t="shared" si="9"/>
        <v>75965.83</v>
      </c>
      <c r="K26" s="16">
        <f t="shared" si="9"/>
        <v>86129.090000000011</v>
      </c>
      <c r="L26" s="16">
        <f t="shared" si="9"/>
        <v>75734.829999999987</v>
      </c>
      <c r="M26" s="16">
        <f t="shared" si="9"/>
        <v>64494.75</v>
      </c>
      <c r="N26" s="17"/>
      <c r="O26" s="16">
        <f t="shared" si="9"/>
        <v>911241.71800000011</v>
      </c>
      <c r="P26" s="17"/>
      <c r="Q26" s="16">
        <f>O26/$Q$4</f>
        <v>75936.809833333347</v>
      </c>
      <c r="R26" s="18">
        <f>SUM(R22:R25)</f>
        <v>0.31217231318048749</v>
      </c>
    </row>
    <row r="27" spans="1:18" s="5" customFormat="1" ht="19.5" hidden="1" customHeight="1" x14ac:dyDescent="0.2">
      <c r="A27" s="8" t="s">
        <v>250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idden="1" x14ac:dyDescent="0.2">
      <c r="A28" s="13" t="s">
        <v>251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1"/>
      <c r="O28" s="10">
        <f t="shared" si="1"/>
        <v>0</v>
      </c>
      <c r="P28" s="11"/>
      <c r="Q28" s="4"/>
      <c r="R28" s="4"/>
    </row>
    <row r="29" spans="1:18" hidden="1" x14ac:dyDescent="0.2">
      <c r="A29" s="13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1"/>
      <c r="O29" s="10">
        <f t="shared" si="1"/>
        <v>0</v>
      </c>
      <c r="P29" s="11"/>
      <c r="Q29" s="4"/>
      <c r="R29" s="4"/>
    </row>
    <row r="30" spans="1:18" hidden="1" x14ac:dyDescent="0.2">
      <c r="A30" s="13" t="s">
        <v>253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1"/>
      <c r="O30" s="10">
        <f t="shared" si="1"/>
        <v>0</v>
      </c>
      <c r="P30" s="11"/>
      <c r="Q30" s="4"/>
      <c r="R30" s="4"/>
    </row>
    <row r="31" spans="1:18" s="5" customFormat="1" hidden="1" x14ac:dyDescent="0.2">
      <c r="A31" s="15" t="s">
        <v>254</v>
      </c>
      <c r="B31" s="16">
        <f t="shared" ref="B31:M31" si="10">SUM(B28:B30)</f>
        <v>0</v>
      </c>
      <c r="C31" s="16">
        <f t="shared" si="10"/>
        <v>0</v>
      </c>
      <c r="D31" s="16">
        <f t="shared" si="10"/>
        <v>0</v>
      </c>
      <c r="E31" s="16">
        <f t="shared" si="10"/>
        <v>0</v>
      </c>
      <c r="F31" s="16">
        <f t="shared" si="10"/>
        <v>0</v>
      </c>
      <c r="G31" s="16">
        <f t="shared" si="10"/>
        <v>0</v>
      </c>
      <c r="H31" s="16">
        <f t="shared" si="10"/>
        <v>0</v>
      </c>
      <c r="I31" s="16">
        <f t="shared" si="10"/>
        <v>0</v>
      </c>
      <c r="J31" s="16">
        <f t="shared" si="10"/>
        <v>0</v>
      </c>
      <c r="K31" s="16">
        <f t="shared" si="10"/>
        <v>0</v>
      </c>
      <c r="L31" s="16">
        <f t="shared" si="10"/>
        <v>0</v>
      </c>
      <c r="M31" s="16">
        <f t="shared" si="10"/>
        <v>0</v>
      </c>
      <c r="N31" s="17"/>
      <c r="O31" s="16">
        <f>SUM(O28:O30)</f>
        <v>0</v>
      </c>
      <c r="P31" s="17"/>
      <c r="Q31" s="16">
        <f>O31/$Q$4</f>
        <v>0</v>
      </c>
      <c r="R31" s="18">
        <f>-O31/O8</f>
        <v>0</v>
      </c>
    </row>
    <row r="32" spans="1:18" s="5" customFormat="1" ht="21" customHeight="1" x14ac:dyDescent="0.2">
      <c r="A32" s="8" t="s">
        <v>289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">
      <c r="A33" s="13" t="s">
        <v>313</v>
      </c>
      <c r="B33" s="10">
        <v>0</v>
      </c>
      <c r="C33" s="10">
        <v>0</v>
      </c>
      <c r="D33" s="10">
        <v>5825</v>
      </c>
      <c r="E33" s="10">
        <v>-18058.670000000002</v>
      </c>
      <c r="F33" s="10">
        <v>18521.999999999996</v>
      </c>
      <c r="G33" s="10">
        <v>0</v>
      </c>
      <c r="H33" s="10">
        <v>-41.9</v>
      </c>
      <c r="I33" s="10">
        <v>2009</v>
      </c>
      <c r="J33" s="10">
        <v>0</v>
      </c>
      <c r="K33" s="10">
        <v>23961.29</v>
      </c>
      <c r="L33" s="10">
        <v>-30187.412999999997</v>
      </c>
      <c r="M33" s="10">
        <v>6410</v>
      </c>
      <c r="N33" s="17"/>
      <c r="O33" s="10">
        <f t="shared" ref="O33" si="11">SUM(B33:N33)</f>
        <v>8439.3069999999971</v>
      </c>
      <c r="P33" s="17"/>
      <c r="Q33" s="4"/>
      <c r="R33" s="4"/>
    </row>
    <row r="34" spans="1:18" x14ac:dyDescent="0.2">
      <c r="A34" s="15" t="s">
        <v>290</v>
      </c>
      <c r="B34" s="16">
        <f>B33</f>
        <v>0</v>
      </c>
      <c r="C34" s="16">
        <f t="shared" ref="C34:O34" si="12">C33</f>
        <v>0</v>
      </c>
      <c r="D34" s="16">
        <f t="shared" si="12"/>
        <v>5825</v>
      </c>
      <c r="E34" s="16">
        <f t="shared" si="12"/>
        <v>-18058.670000000002</v>
      </c>
      <c r="F34" s="16">
        <f t="shared" si="12"/>
        <v>18521.999999999996</v>
      </c>
      <c r="G34" s="16">
        <f t="shared" si="12"/>
        <v>0</v>
      </c>
      <c r="H34" s="16">
        <f t="shared" si="12"/>
        <v>-41.9</v>
      </c>
      <c r="I34" s="16">
        <f t="shared" si="12"/>
        <v>2009</v>
      </c>
      <c r="J34" s="16">
        <f t="shared" si="12"/>
        <v>0</v>
      </c>
      <c r="K34" s="16">
        <f t="shared" si="12"/>
        <v>23961.29</v>
      </c>
      <c r="L34" s="16">
        <f t="shared" si="12"/>
        <v>-30187.412999999997</v>
      </c>
      <c r="M34" s="16">
        <f t="shared" si="12"/>
        <v>6410</v>
      </c>
      <c r="N34" s="17"/>
      <c r="O34" s="16">
        <f t="shared" si="12"/>
        <v>8439.3069999999971</v>
      </c>
      <c r="P34" s="17"/>
      <c r="Q34" s="4"/>
      <c r="R34" s="4"/>
    </row>
    <row r="35" spans="1:18" s="5" customFormat="1" x14ac:dyDescent="0.2">
      <c r="A35" s="8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">
      <c r="A36" s="21" t="s">
        <v>235</v>
      </c>
      <c r="B36" s="20">
        <f t="shared" ref="B36:M36" si="13">B8-B18-B24+B31+B33</f>
        <v>3850.3599999999897</v>
      </c>
      <c r="C36" s="20">
        <f t="shared" si="13"/>
        <v>2134.9619999999904</v>
      </c>
      <c r="D36" s="20">
        <f t="shared" si="13"/>
        <v>25369.809999999983</v>
      </c>
      <c r="E36" s="20">
        <f t="shared" si="13"/>
        <v>-20666.880000000012</v>
      </c>
      <c r="F36" s="20">
        <f t="shared" si="13"/>
        <v>28079.059999999998</v>
      </c>
      <c r="G36" s="20">
        <f t="shared" si="13"/>
        <v>-5520.6900000000096</v>
      </c>
      <c r="H36" s="20">
        <f t="shared" si="13"/>
        <v>3875.3000000000061</v>
      </c>
      <c r="I36" s="20">
        <f t="shared" si="13"/>
        <v>79.310000000003129</v>
      </c>
      <c r="J36" s="20">
        <f t="shared" si="13"/>
        <v>4315.4099999999889</v>
      </c>
      <c r="K36" s="20">
        <f t="shared" si="13"/>
        <v>10283.140000000003</v>
      </c>
      <c r="L36" s="20">
        <f t="shared" si="13"/>
        <v>-28316.122999999996</v>
      </c>
      <c r="M36" s="20">
        <f t="shared" si="13"/>
        <v>12593.239999999989</v>
      </c>
      <c r="O36" s="20">
        <f>O8-O18-O24+O31+O34</f>
        <v>36076.898999999859</v>
      </c>
      <c r="Q36" s="16">
        <f>O36/$Q$4</f>
        <v>3006.4082499999881</v>
      </c>
      <c r="R36" s="29">
        <f>O36/O8</f>
        <v>3.842549155758887E-2</v>
      </c>
    </row>
    <row r="37" spans="1:18" x14ac:dyDescent="0.2">
      <c r="Q37" s="4"/>
      <c r="R37" s="4"/>
    </row>
    <row r="38" spans="1:18" x14ac:dyDescent="0.2">
      <c r="A38" s="21" t="s">
        <v>236</v>
      </c>
      <c r="B38" s="20">
        <f>[1]MOV.FINANCEIRO!M4+B36</f>
        <v>121435.74999999999</v>
      </c>
      <c r="C38" s="20">
        <f>B38+C36</f>
        <v>123570.71199999997</v>
      </c>
      <c r="D38" s="20">
        <f t="shared" ref="D38:M38" si="14">C38+D36</f>
        <v>148940.52199999994</v>
      </c>
      <c r="E38" s="20">
        <f t="shared" si="14"/>
        <v>128273.64199999993</v>
      </c>
      <c r="F38" s="20">
        <f t="shared" si="14"/>
        <v>156352.70199999993</v>
      </c>
      <c r="G38" s="20">
        <f t="shared" si="14"/>
        <v>150832.01199999993</v>
      </c>
      <c r="H38" s="20">
        <f t="shared" si="14"/>
        <v>154707.31199999995</v>
      </c>
      <c r="I38" s="20">
        <f t="shared" si="14"/>
        <v>154786.62199999994</v>
      </c>
      <c r="J38" s="20">
        <f t="shared" si="14"/>
        <v>159102.03199999995</v>
      </c>
      <c r="K38" s="20">
        <f t="shared" si="14"/>
        <v>169385.17199999996</v>
      </c>
      <c r="L38" s="20">
        <f t="shared" si="14"/>
        <v>141069.04899999997</v>
      </c>
      <c r="M38" s="20">
        <f t="shared" si="14"/>
        <v>153662.28899999996</v>
      </c>
      <c r="O38" s="20">
        <f>M38</f>
        <v>153662.28899999996</v>
      </c>
    </row>
    <row r="39" spans="1:18" x14ac:dyDescent="0.2">
      <c r="Q39" s="4"/>
      <c r="R39" s="4"/>
    </row>
    <row r="40" spans="1:18" x14ac:dyDescent="0.2">
      <c r="Q40" s="4"/>
      <c r="R40" s="4"/>
    </row>
    <row r="41" spans="1:18" x14ac:dyDescent="0.2">
      <c r="A41" s="2" t="s">
        <v>237</v>
      </c>
      <c r="B41" s="3" t="s">
        <v>218</v>
      </c>
      <c r="C41" s="3" t="s">
        <v>219</v>
      </c>
      <c r="D41" s="3" t="s">
        <v>220</v>
      </c>
      <c r="E41" s="3" t="s">
        <v>221</v>
      </c>
      <c r="F41" s="3" t="s">
        <v>222</v>
      </c>
      <c r="G41" s="3" t="s">
        <v>223</v>
      </c>
      <c r="H41" s="3" t="s">
        <v>224</v>
      </c>
      <c r="I41" s="3" t="s">
        <v>225</v>
      </c>
      <c r="J41" s="3" t="s">
        <v>226</v>
      </c>
      <c r="K41" s="3" t="s">
        <v>227</v>
      </c>
      <c r="L41" s="3" t="s">
        <v>228</v>
      </c>
      <c r="M41" s="3" t="s">
        <v>229</v>
      </c>
      <c r="Q41" s="4"/>
      <c r="R41" s="4"/>
    </row>
    <row r="42" spans="1:18" x14ac:dyDescent="0.2">
      <c r="A42" s="13" t="s">
        <v>238</v>
      </c>
      <c r="B42" s="10">
        <v>1238.1300000000001</v>
      </c>
      <c r="C42" s="10">
        <v>4144.87</v>
      </c>
      <c r="D42" s="10">
        <v>3703.06</v>
      </c>
      <c r="E42" s="10">
        <v>2208.4299999999998</v>
      </c>
      <c r="F42" s="10">
        <v>317.25</v>
      </c>
      <c r="G42" s="10">
        <v>1122.78</v>
      </c>
      <c r="H42" s="10">
        <v>3134.75</v>
      </c>
      <c r="I42" s="10">
        <v>10083.02</v>
      </c>
      <c r="J42" s="10">
        <v>2305.9499999999998</v>
      </c>
      <c r="K42" s="10">
        <v>10775.23</v>
      </c>
      <c r="L42" s="10">
        <v>11359.31</v>
      </c>
      <c r="M42" s="10">
        <v>3087.09</v>
      </c>
    </row>
    <row r="43" spans="1:18" x14ac:dyDescent="0.2">
      <c r="A43" s="13" t="s">
        <v>239</v>
      </c>
      <c r="B43" s="10">
        <v>862</v>
      </c>
      <c r="C43" s="10">
        <v>694.06</v>
      </c>
      <c r="D43" s="10">
        <v>9552.2199999999993</v>
      </c>
      <c r="E43" s="10">
        <v>3186.63</v>
      </c>
      <c r="F43" s="10">
        <v>10887.4</v>
      </c>
      <c r="G43" s="10">
        <v>25691.39</v>
      </c>
      <c r="H43" s="10">
        <v>5844.65</v>
      </c>
      <c r="I43" s="10">
        <v>4169.3</v>
      </c>
      <c r="J43" s="10">
        <v>12326.37</v>
      </c>
      <c r="K43" s="10">
        <v>38346.76</v>
      </c>
      <c r="L43" s="10">
        <v>10534.06</v>
      </c>
      <c r="M43" s="10">
        <v>10629.72</v>
      </c>
    </row>
    <row r="44" spans="1:18" x14ac:dyDescent="0.2">
      <c r="A44" s="13" t="s">
        <v>240</v>
      </c>
      <c r="B44" s="10">
        <v>119335.62</v>
      </c>
      <c r="C44" s="10">
        <v>118731.78</v>
      </c>
      <c r="D44" s="10">
        <v>135685.24</v>
      </c>
      <c r="E44" s="10">
        <v>122878.58</v>
      </c>
      <c r="F44" s="10">
        <v>145148.04999999999</v>
      </c>
      <c r="G44" s="10">
        <v>124017.84</v>
      </c>
      <c r="H44" s="10">
        <v>145727.91</v>
      </c>
      <c r="I44" s="10">
        <v>140534.29999999999</v>
      </c>
      <c r="J44" s="10">
        <v>144469.71</v>
      </c>
      <c r="K44" s="10">
        <v>120263.18</v>
      </c>
      <c r="L44" s="10">
        <v>119175.67999999999</v>
      </c>
      <c r="M44" s="10">
        <v>139945.48000000001</v>
      </c>
    </row>
    <row r="45" spans="1:18" x14ac:dyDescent="0.2">
      <c r="A45" s="13" t="s">
        <v>288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8" x14ac:dyDescent="0.2">
      <c r="B46" s="16">
        <f>SUM(B42:B44)-B45</f>
        <v>121435.75</v>
      </c>
      <c r="C46" s="16">
        <f t="shared" ref="C46:M46" si="15">SUM(C42:C44)-C45</f>
        <v>123570.70999999999</v>
      </c>
      <c r="D46" s="16">
        <f t="shared" si="15"/>
        <v>148940.51999999999</v>
      </c>
      <c r="E46" s="16">
        <f t="shared" si="15"/>
        <v>128273.64</v>
      </c>
      <c r="F46" s="16">
        <f t="shared" si="15"/>
        <v>156352.69999999998</v>
      </c>
      <c r="G46" s="16">
        <f t="shared" si="15"/>
        <v>150832.01</v>
      </c>
      <c r="H46" s="16">
        <f t="shared" si="15"/>
        <v>154707.31</v>
      </c>
      <c r="I46" s="16">
        <f t="shared" si="15"/>
        <v>154786.62</v>
      </c>
      <c r="J46" s="16">
        <f t="shared" si="15"/>
        <v>159102.03</v>
      </c>
      <c r="K46" s="16">
        <f t="shared" si="15"/>
        <v>169385.16999999998</v>
      </c>
      <c r="L46" s="16">
        <f t="shared" si="15"/>
        <v>141069.04999999999</v>
      </c>
      <c r="M46" s="16">
        <f t="shared" si="15"/>
        <v>153662.29</v>
      </c>
    </row>
    <row r="47" spans="1:18" x14ac:dyDescent="0.2">
      <c r="B47" s="24">
        <f>B46-B38</f>
        <v>0</v>
      </c>
      <c r="C47" s="24">
        <f t="shared" ref="C47:M47" si="16">C46-C38</f>
        <v>-1.9999999785795808E-3</v>
      </c>
      <c r="D47" s="24">
        <f t="shared" si="16"/>
        <v>-1.9999999494757503E-3</v>
      </c>
      <c r="E47" s="24">
        <f t="shared" si="16"/>
        <v>-1.9999999349238351E-3</v>
      </c>
      <c r="F47" s="24">
        <f t="shared" si="16"/>
        <v>-1.9999999494757503E-3</v>
      </c>
      <c r="G47" s="24">
        <f t="shared" si="16"/>
        <v>-1.9999999203719199E-3</v>
      </c>
      <c r="H47" s="24">
        <f t="shared" si="16"/>
        <v>-1.9999999494757503E-3</v>
      </c>
      <c r="I47" s="24">
        <f t="shared" si="16"/>
        <v>-1.9999999494757503E-3</v>
      </c>
      <c r="J47" s="24">
        <f t="shared" si="16"/>
        <v>-1.9999999494757503E-3</v>
      </c>
      <c r="K47" s="24">
        <f t="shared" si="16"/>
        <v>-1.9999999785795808E-3</v>
      </c>
      <c r="L47" s="24">
        <f t="shared" si="16"/>
        <v>1.0000000183936208E-3</v>
      </c>
      <c r="M47" s="24">
        <f t="shared" si="16"/>
        <v>1.0000000474974513E-3</v>
      </c>
    </row>
  </sheetData>
  <mergeCells count="1">
    <mergeCell ref="A1:R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S55"/>
  <sheetViews>
    <sheetView topLeftCell="A11" workbookViewId="0">
      <selection activeCell="A2" sqref="A2"/>
    </sheetView>
  </sheetViews>
  <sheetFormatPr defaultRowHeight="12.75" x14ac:dyDescent="0.2"/>
  <cols>
    <col min="1" max="1" width="30.140625" style="12" customWidth="1"/>
    <col min="2" max="12" width="7.7109375" style="12" customWidth="1"/>
    <col min="13" max="13" width="9.7109375" style="12" customWidth="1"/>
    <col min="14" max="14" width="2.140625" style="12" customWidth="1"/>
    <col min="15" max="15" width="10.140625" style="12" customWidth="1"/>
    <col min="16" max="16" width="2.140625" style="12" customWidth="1"/>
    <col min="17" max="17" width="11.85546875" style="12" customWidth="1"/>
    <col min="18" max="18" width="5.28515625" style="58" bestFit="1" customWidth="1"/>
    <col min="19" max="256" width="9.140625" style="12"/>
    <col min="257" max="257" width="27.42578125" style="12" customWidth="1"/>
    <col min="258" max="266" width="9" style="12" customWidth="1"/>
    <col min="267" max="269" width="0" style="12" hidden="1" customWidth="1"/>
    <col min="270" max="270" width="2.140625" style="12" customWidth="1"/>
    <col min="271" max="271" width="11.5703125" style="12" customWidth="1"/>
    <col min="272" max="272" width="2.140625" style="12" customWidth="1"/>
    <col min="273" max="273" width="11.85546875" style="12" customWidth="1"/>
    <col min="274" max="274" width="5.7109375" style="12" bestFit="1" customWidth="1"/>
    <col min="275" max="512" width="9.140625" style="12"/>
    <col min="513" max="513" width="27.42578125" style="12" customWidth="1"/>
    <col min="514" max="522" width="9" style="12" customWidth="1"/>
    <col min="523" max="525" width="0" style="12" hidden="1" customWidth="1"/>
    <col min="526" max="526" width="2.140625" style="12" customWidth="1"/>
    <col min="527" max="527" width="11.5703125" style="12" customWidth="1"/>
    <col min="528" max="528" width="2.140625" style="12" customWidth="1"/>
    <col min="529" max="529" width="11.85546875" style="12" customWidth="1"/>
    <col min="530" max="530" width="5.7109375" style="12" bestFit="1" customWidth="1"/>
    <col min="531" max="768" width="9.140625" style="12"/>
    <col min="769" max="769" width="27.42578125" style="12" customWidth="1"/>
    <col min="770" max="778" width="9" style="12" customWidth="1"/>
    <col min="779" max="781" width="0" style="12" hidden="1" customWidth="1"/>
    <col min="782" max="782" width="2.140625" style="12" customWidth="1"/>
    <col min="783" max="783" width="11.5703125" style="12" customWidth="1"/>
    <col min="784" max="784" width="2.140625" style="12" customWidth="1"/>
    <col min="785" max="785" width="11.85546875" style="12" customWidth="1"/>
    <col min="786" max="786" width="5.7109375" style="12" bestFit="1" customWidth="1"/>
    <col min="787" max="1024" width="9.140625" style="12"/>
    <col min="1025" max="1025" width="27.42578125" style="12" customWidth="1"/>
    <col min="1026" max="1034" width="9" style="12" customWidth="1"/>
    <col min="1035" max="1037" width="0" style="12" hidden="1" customWidth="1"/>
    <col min="1038" max="1038" width="2.140625" style="12" customWidth="1"/>
    <col min="1039" max="1039" width="11.5703125" style="12" customWidth="1"/>
    <col min="1040" max="1040" width="2.140625" style="12" customWidth="1"/>
    <col min="1041" max="1041" width="11.85546875" style="12" customWidth="1"/>
    <col min="1042" max="1042" width="5.7109375" style="12" bestFit="1" customWidth="1"/>
    <col min="1043" max="1280" width="9.140625" style="12"/>
    <col min="1281" max="1281" width="27.42578125" style="12" customWidth="1"/>
    <col min="1282" max="1290" width="9" style="12" customWidth="1"/>
    <col min="1291" max="1293" width="0" style="12" hidden="1" customWidth="1"/>
    <col min="1294" max="1294" width="2.140625" style="12" customWidth="1"/>
    <col min="1295" max="1295" width="11.5703125" style="12" customWidth="1"/>
    <col min="1296" max="1296" width="2.140625" style="12" customWidth="1"/>
    <col min="1297" max="1297" width="11.85546875" style="12" customWidth="1"/>
    <col min="1298" max="1298" width="5.7109375" style="12" bestFit="1" customWidth="1"/>
    <col min="1299" max="1536" width="9.140625" style="12"/>
    <col min="1537" max="1537" width="27.42578125" style="12" customWidth="1"/>
    <col min="1538" max="1546" width="9" style="12" customWidth="1"/>
    <col min="1547" max="1549" width="0" style="12" hidden="1" customWidth="1"/>
    <col min="1550" max="1550" width="2.140625" style="12" customWidth="1"/>
    <col min="1551" max="1551" width="11.5703125" style="12" customWidth="1"/>
    <col min="1552" max="1552" width="2.140625" style="12" customWidth="1"/>
    <col min="1553" max="1553" width="11.85546875" style="12" customWidth="1"/>
    <col min="1554" max="1554" width="5.7109375" style="12" bestFit="1" customWidth="1"/>
    <col min="1555" max="1792" width="9.140625" style="12"/>
    <col min="1793" max="1793" width="27.42578125" style="12" customWidth="1"/>
    <col min="1794" max="1802" width="9" style="12" customWidth="1"/>
    <col min="1803" max="1805" width="0" style="12" hidden="1" customWidth="1"/>
    <col min="1806" max="1806" width="2.140625" style="12" customWidth="1"/>
    <col min="1807" max="1807" width="11.5703125" style="12" customWidth="1"/>
    <col min="1808" max="1808" width="2.140625" style="12" customWidth="1"/>
    <col min="1809" max="1809" width="11.85546875" style="12" customWidth="1"/>
    <col min="1810" max="1810" width="5.7109375" style="12" bestFit="1" customWidth="1"/>
    <col min="1811" max="2048" width="9.140625" style="12"/>
    <col min="2049" max="2049" width="27.42578125" style="12" customWidth="1"/>
    <col min="2050" max="2058" width="9" style="12" customWidth="1"/>
    <col min="2059" max="2061" width="0" style="12" hidden="1" customWidth="1"/>
    <col min="2062" max="2062" width="2.140625" style="12" customWidth="1"/>
    <col min="2063" max="2063" width="11.5703125" style="12" customWidth="1"/>
    <col min="2064" max="2064" width="2.140625" style="12" customWidth="1"/>
    <col min="2065" max="2065" width="11.85546875" style="12" customWidth="1"/>
    <col min="2066" max="2066" width="5.7109375" style="12" bestFit="1" customWidth="1"/>
    <col min="2067" max="2304" width="9.140625" style="12"/>
    <col min="2305" max="2305" width="27.42578125" style="12" customWidth="1"/>
    <col min="2306" max="2314" width="9" style="12" customWidth="1"/>
    <col min="2315" max="2317" width="0" style="12" hidden="1" customWidth="1"/>
    <col min="2318" max="2318" width="2.140625" style="12" customWidth="1"/>
    <col min="2319" max="2319" width="11.5703125" style="12" customWidth="1"/>
    <col min="2320" max="2320" width="2.140625" style="12" customWidth="1"/>
    <col min="2321" max="2321" width="11.85546875" style="12" customWidth="1"/>
    <col min="2322" max="2322" width="5.7109375" style="12" bestFit="1" customWidth="1"/>
    <col min="2323" max="2560" width="9.140625" style="12"/>
    <col min="2561" max="2561" width="27.42578125" style="12" customWidth="1"/>
    <col min="2562" max="2570" width="9" style="12" customWidth="1"/>
    <col min="2571" max="2573" width="0" style="12" hidden="1" customWidth="1"/>
    <col min="2574" max="2574" width="2.140625" style="12" customWidth="1"/>
    <col min="2575" max="2575" width="11.5703125" style="12" customWidth="1"/>
    <col min="2576" max="2576" width="2.140625" style="12" customWidth="1"/>
    <col min="2577" max="2577" width="11.85546875" style="12" customWidth="1"/>
    <col min="2578" max="2578" width="5.7109375" style="12" bestFit="1" customWidth="1"/>
    <col min="2579" max="2816" width="9.140625" style="12"/>
    <col min="2817" max="2817" width="27.42578125" style="12" customWidth="1"/>
    <col min="2818" max="2826" width="9" style="12" customWidth="1"/>
    <col min="2827" max="2829" width="0" style="12" hidden="1" customWidth="1"/>
    <col min="2830" max="2830" width="2.140625" style="12" customWidth="1"/>
    <col min="2831" max="2831" width="11.5703125" style="12" customWidth="1"/>
    <col min="2832" max="2832" width="2.140625" style="12" customWidth="1"/>
    <col min="2833" max="2833" width="11.85546875" style="12" customWidth="1"/>
    <col min="2834" max="2834" width="5.7109375" style="12" bestFit="1" customWidth="1"/>
    <col min="2835" max="3072" width="9.140625" style="12"/>
    <col min="3073" max="3073" width="27.42578125" style="12" customWidth="1"/>
    <col min="3074" max="3082" width="9" style="12" customWidth="1"/>
    <col min="3083" max="3085" width="0" style="12" hidden="1" customWidth="1"/>
    <col min="3086" max="3086" width="2.140625" style="12" customWidth="1"/>
    <col min="3087" max="3087" width="11.5703125" style="12" customWidth="1"/>
    <col min="3088" max="3088" width="2.140625" style="12" customWidth="1"/>
    <col min="3089" max="3089" width="11.85546875" style="12" customWidth="1"/>
    <col min="3090" max="3090" width="5.7109375" style="12" bestFit="1" customWidth="1"/>
    <col min="3091" max="3328" width="9.140625" style="12"/>
    <col min="3329" max="3329" width="27.42578125" style="12" customWidth="1"/>
    <col min="3330" max="3338" width="9" style="12" customWidth="1"/>
    <col min="3339" max="3341" width="0" style="12" hidden="1" customWidth="1"/>
    <col min="3342" max="3342" width="2.140625" style="12" customWidth="1"/>
    <col min="3343" max="3343" width="11.5703125" style="12" customWidth="1"/>
    <col min="3344" max="3344" width="2.140625" style="12" customWidth="1"/>
    <col min="3345" max="3345" width="11.85546875" style="12" customWidth="1"/>
    <col min="3346" max="3346" width="5.7109375" style="12" bestFit="1" customWidth="1"/>
    <col min="3347" max="3584" width="9.140625" style="12"/>
    <col min="3585" max="3585" width="27.42578125" style="12" customWidth="1"/>
    <col min="3586" max="3594" width="9" style="12" customWidth="1"/>
    <col min="3595" max="3597" width="0" style="12" hidden="1" customWidth="1"/>
    <col min="3598" max="3598" width="2.140625" style="12" customWidth="1"/>
    <col min="3599" max="3599" width="11.5703125" style="12" customWidth="1"/>
    <col min="3600" max="3600" width="2.140625" style="12" customWidth="1"/>
    <col min="3601" max="3601" width="11.85546875" style="12" customWidth="1"/>
    <col min="3602" max="3602" width="5.7109375" style="12" bestFit="1" customWidth="1"/>
    <col min="3603" max="3840" width="9.140625" style="12"/>
    <col min="3841" max="3841" width="27.42578125" style="12" customWidth="1"/>
    <col min="3842" max="3850" width="9" style="12" customWidth="1"/>
    <col min="3851" max="3853" width="0" style="12" hidden="1" customWidth="1"/>
    <col min="3854" max="3854" width="2.140625" style="12" customWidth="1"/>
    <col min="3855" max="3855" width="11.5703125" style="12" customWidth="1"/>
    <col min="3856" max="3856" width="2.140625" style="12" customWidth="1"/>
    <col min="3857" max="3857" width="11.85546875" style="12" customWidth="1"/>
    <col min="3858" max="3858" width="5.7109375" style="12" bestFit="1" customWidth="1"/>
    <col min="3859" max="4096" width="9.140625" style="12"/>
    <col min="4097" max="4097" width="27.42578125" style="12" customWidth="1"/>
    <col min="4098" max="4106" width="9" style="12" customWidth="1"/>
    <col min="4107" max="4109" width="0" style="12" hidden="1" customWidth="1"/>
    <col min="4110" max="4110" width="2.140625" style="12" customWidth="1"/>
    <col min="4111" max="4111" width="11.5703125" style="12" customWidth="1"/>
    <col min="4112" max="4112" width="2.140625" style="12" customWidth="1"/>
    <col min="4113" max="4113" width="11.85546875" style="12" customWidth="1"/>
    <col min="4114" max="4114" width="5.7109375" style="12" bestFit="1" customWidth="1"/>
    <col min="4115" max="4352" width="9.140625" style="12"/>
    <col min="4353" max="4353" width="27.42578125" style="12" customWidth="1"/>
    <col min="4354" max="4362" width="9" style="12" customWidth="1"/>
    <col min="4363" max="4365" width="0" style="12" hidden="1" customWidth="1"/>
    <col min="4366" max="4366" width="2.140625" style="12" customWidth="1"/>
    <col min="4367" max="4367" width="11.5703125" style="12" customWidth="1"/>
    <col min="4368" max="4368" width="2.140625" style="12" customWidth="1"/>
    <col min="4369" max="4369" width="11.85546875" style="12" customWidth="1"/>
    <col min="4370" max="4370" width="5.7109375" style="12" bestFit="1" customWidth="1"/>
    <col min="4371" max="4608" width="9.140625" style="12"/>
    <col min="4609" max="4609" width="27.42578125" style="12" customWidth="1"/>
    <col min="4610" max="4618" width="9" style="12" customWidth="1"/>
    <col min="4619" max="4621" width="0" style="12" hidden="1" customWidth="1"/>
    <col min="4622" max="4622" width="2.140625" style="12" customWidth="1"/>
    <col min="4623" max="4623" width="11.5703125" style="12" customWidth="1"/>
    <col min="4624" max="4624" width="2.140625" style="12" customWidth="1"/>
    <col min="4625" max="4625" width="11.85546875" style="12" customWidth="1"/>
    <col min="4626" max="4626" width="5.7109375" style="12" bestFit="1" customWidth="1"/>
    <col min="4627" max="4864" width="9.140625" style="12"/>
    <col min="4865" max="4865" width="27.42578125" style="12" customWidth="1"/>
    <col min="4866" max="4874" width="9" style="12" customWidth="1"/>
    <col min="4875" max="4877" width="0" style="12" hidden="1" customWidth="1"/>
    <col min="4878" max="4878" width="2.140625" style="12" customWidth="1"/>
    <col min="4879" max="4879" width="11.5703125" style="12" customWidth="1"/>
    <col min="4880" max="4880" width="2.140625" style="12" customWidth="1"/>
    <col min="4881" max="4881" width="11.85546875" style="12" customWidth="1"/>
    <col min="4882" max="4882" width="5.7109375" style="12" bestFit="1" customWidth="1"/>
    <col min="4883" max="5120" width="9.140625" style="12"/>
    <col min="5121" max="5121" width="27.42578125" style="12" customWidth="1"/>
    <col min="5122" max="5130" width="9" style="12" customWidth="1"/>
    <col min="5131" max="5133" width="0" style="12" hidden="1" customWidth="1"/>
    <col min="5134" max="5134" width="2.140625" style="12" customWidth="1"/>
    <col min="5135" max="5135" width="11.5703125" style="12" customWidth="1"/>
    <col min="5136" max="5136" width="2.140625" style="12" customWidth="1"/>
    <col min="5137" max="5137" width="11.85546875" style="12" customWidth="1"/>
    <col min="5138" max="5138" width="5.7109375" style="12" bestFit="1" customWidth="1"/>
    <col min="5139" max="5376" width="9.140625" style="12"/>
    <col min="5377" max="5377" width="27.42578125" style="12" customWidth="1"/>
    <col min="5378" max="5386" width="9" style="12" customWidth="1"/>
    <col min="5387" max="5389" width="0" style="12" hidden="1" customWidth="1"/>
    <col min="5390" max="5390" width="2.140625" style="12" customWidth="1"/>
    <col min="5391" max="5391" width="11.5703125" style="12" customWidth="1"/>
    <col min="5392" max="5392" width="2.140625" style="12" customWidth="1"/>
    <col min="5393" max="5393" width="11.85546875" style="12" customWidth="1"/>
    <col min="5394" max="5394" width="5.7109375" style="12" bestFit="1" customWidth="1"/>
    <col min="5395" max="5632" width="9.140625" style="12"/>
    <col min="5633" max="5633" width="27.42578125" style="12" customWidth="1"/>
    <col min="5634" max="5642" width="9" style="12" customWidth="1"/>
    <col min="5643" max="5645" width="0" style="12" hidden="1" customWidth="1"/>
    <col min="5646" max="5646" width="2.140625" style="12" customWidth="1"/>
    <col min="5647" max="5647" width="11.5703125" style="12" customWidth="1"/>
    <col min="5648" max="5648" width="2.140625" style="12" customWidth="1"/>
    <col min="5649" max="5649" width="11.85546875" style="12" customWidth="1"/>
    <col min="5650" max="5650" width="5.7109375" style="12" bestFit="1" customWidth="1"/>
    <col min="5651" max="5888" width="9.140625" style="12"/>
    <col min="5889" max="5889" width="27.42578125" style="12" customWidth="1"/>
    <col min="5890" max="5898" width="9" style="12" customWidth="1"/>
    <col min="5899" max="5901" width="0" style="12" hidden="1" customWidth="1"/>
    <col min="5902" max="5902" width="2.140625" style="12" customWidth="1"/>
    <col min="5903" max="5903" width="11.5703125" style="12" customWidth="1"/>
    <col min="5904" max="5904" width="2.140625" style="12" customWidth="1"/>
    <col min="5905" max="5905" width="11.85546875" style="12" customWidth="1"/>
    <col min="5906" max="5906" width="5.7109375" style="12" bestFit="1" customWidth="1"/>
    <col min="5907" max="6144" width="9.140625" style="12"/>
    <col min="6145" max="6145" width="27.42578125" style="12" customWidth="1"/>
    <col min="6146" max="6154" width="9" style="12" customWidth="1"/>
    <col min="6155" max="6157" width="0" style="12" hidden="1" customWidth="1"/>
    <col min="6158" max="6158" width="2.140625" style="12" customWidth="1"/>
    <col min="6159" max="6159" width="11.5703125" style="12" customWidth="1"/>
    <col min="6160" max="6160" width="2.140625" style="12" customWidth="1"/>
    <col min="6161" max="6161" width="11.85546875" style="12" customWidth="1"/>
    <col min="6162" max="6162" width="5.7109375" style="12" bestFit="1" customWidth="1"/>
    <col min="6163" max="6400" width="9.140625" style="12"/>
    <col min="6401" max="6401" width="27.42578125" style="12" customWidth="1"/>
    <col min="6402" max="6410" width="9" style="12" customWidth="1"/>
    <col min="6411" max="6413" width="0" style="12" hidden="1" customWidth="1"/>
    <col min="6414" max="6414" width="2.140625" style="12" customWidth="1"/>
    <col min="6415" max="6415" width="11.5703125" style="12" customWidth="1"/>
    <col min="6416" max="6416" width="2.140625" style="12" customWidth="1"/>
    <col min="6417" max="6417" width="11.85546875" style="12" customWidth="1"/>
    <col min="6418" max="6418" width="5.7109375" style="12" bestFit="1" customWidth="1"/>
    <col min="6419" max="6656" width="9.140625" style="12"/>
    <col min="6657" max="6657" width="27.42578125" style="12" customWidth="1"/>
    <col min="6658" max="6666" width="9" style="12" customWidth="1"/>
    <col min="6667" max="6669" width="0" style="12" hidden="1" customWidth="1"/>
    <col min="6670" max="6670" width="2.140625" style="12" customWidth="1"/>
    <col min="6671" max="6671" width="11.5703125" style="12" customWidth="1"/>
    <col min="6672" max="6672" width="2.140625" style="12" customWidth="1"/>
    <col min="6673" max="6673" width="11.85546875" style="12" customWidth="1"/>
    <col min="6674" max="6674" width="5.7109375" style="12" bestFit="1" customWidth="1"/>
    <col min="6675" max="6912" width="9.140625" style="12"/>
    <col min="6913" max="6913" width="27.42578125" style="12" customWidth="1"/>
    <col min="6914" max="6922" width="9" style="12" customWidth="1"/>
    <col min="6923" max="6925" width="0" style="12" hidden="1" customWidth="1"/>
    <col min="6926" max="6926" width="2.140625" style="12" customWidth="1"/>
    <col min="6927" max="6927" width="11.5703125" style="12" customWidth="1"/>
    <col min="6928" max="6928" width="2.140625" style="12" customWidth="1"/>
    <col min="6929" max="6929" width="11.85546875" style="12" customWidth="1"/>
    <col min="6930" max="6930" width="5.7109375" style="12" bestFit="1" customWidth="1"/>
    <col min="6931" max="7168" width="9.140625" style="12"/>
    <col min="7169" max="7169" width="27.42578125" style="12" customWidth="1"/>
    <col min="7170" max="7178" width="9" style="12" customWidth="1"/>
    <col min="7179" max="7181" width="0" style="12" hidden="1" customWidth="1"/>
    <col min="7182" max="7182" width="2.140625" style="12" customWidth="1"/>
    <col min="7183" max="7183" width="11.5703125" style="12" customWidth="1"/>
    <col min="7184" max="7184" width="2.140625" style="12" customWidth="1"/>
    <col min="7185" max="7185" width="11.85546875" style="12" customWidth="1"/>
    <col min="7186" max="7186" width="5.7109375" style="12" bestFit="1" customWidth="1"/>
    <col min="7187" max="7424" width="9.140625" style="12"/>
    <col min="7425" max="7425" width="27.42578125" style="12" customWidth="1"/>
    <col min="7426" max="7434" width="9" style="12" customWidth="1"/>
    <col min="7435" max="7437" width="0" style="12" hidden="1" customWidth="1"/>
    <col min="7438" max="7438" width="2.140625" style="12" customWidth="1"/>
    <col min="7439" max="7439" width="11.5703125" style="12" customWidth="1"/>
    <col min="7440" max="7440" width="2.140625" style="12" customWidth="1"/>
    <col min="7441" max="7441" width="11.85546875" style="12" customWidth="1"/>
    <col min="7442" max="7442" width="5.7109375" style="12" bestFit="1" customWidth="1"/>
    <col min="7443" max="7680" width="9.140625" style="12"/>
    <col min="7681" max="7681" width="27.42578125" style="12" customWidth="1"/>
    <col min="7682" max="7690" width="9" style="12" customWidth="1"/>
    <col min="7691" max="7693" width="0" style="12" hidden="1" customWidth="1"/>
    <col min="7694" max="7694" width="2.140625" style="12" customWidth="1"/>
    <col min="7695" max="7695" width="11.5703125" style="12" customWidth="1"/>
    <col min="7696" max="7696" width="2.140625" style="12" customWidth="1"/>
    <col min="7697" max="7697" width="11.85546875" style="12" customWidth="1"/>
    <col min="7698" max="7698" width="5.7109375" style="12" bestFit="1" customWidth="1"/>
    <col min="7699" max="7936" width="9.140625" style="12"/>
    <col min="7937" max="7937" width="27.42578125" style="12" customWidth="1"/>
    <col min="7938" max="7946" width="9" style="12" customWidth="1"/>
    <col min="7947" max="7949" width="0" style="12" hidden="1" customWidth="1"/>
    <col min="7950" max="7950" width="2.140625" style="12" customWidth="1"/>
    <col min="7951" max="7951" width="11.5703125" style="12" customWidth="1"/>
    <col min="7952" max="7952" width="2.140625" style="12" customWidth="1"/>
    <col min="7953" max="7953" width="11.85546875" style="12" customWidth="1"/>
    <col min="7954" max="7954" width="5.7109375" style="12" bestFit="1" customWidth="1"/>
    <col min="7955" max="8192" width="9.140625" style="12"/>
    <col min="8193" max="8193" width="27.42578125" style="12" customWidth="1"/>
    <col min="8194" max="8202" width="9" style="12" customWidth="1"/>
    <col min="8203" max="8205" width="0" style="12" hidden="1" customWidth="1"/>
    <col min="8206" max="8206" width="2.140625" style="12" customWidth="1"/>
    <col min="8207" max="8207" width="11.5703125" style="12" customWidth="1"/>
    <col min="8208" max="8208" width="2.140625" style="12" customWidth="1"/>
    <col min="8209" max="8209" width="11.85546875" style="12" customWidth="1"/>
    <col min="8210" max="8210" width="5.7109375" style="12" bestFit="1" customWidth="1"/>
    <col min="8211" max="8448" width="9.140625" style="12"/>
    <col min="8449" max="8449" width="27.42578125" style="12" customWidth="1"/>
    <col min="8450" max="8458" width="9" style="12" customWidth="1"/>
    <col min="8459" max="8461" width="0" style="12" hidden="1" customWidth="1"/>
    <col min="8462" max="8462" width="2.140625" style="12" customWidth="1"/>
    <col min="8463" max="8463" width="11.5703125" style="12" customWidth="1"/>
    <col min="8464" max="8464" width="2.140625" style="12" customWidth="1"/>
    <col min="8465" max="8465" width="11.85546875" style="12" customWidth="1"/>
    <col min="8466" max="8466" width="5.7109375" style="12" bestFit="1" customWidth="1"/>
    <col min="8467" max="8704" width="9.140625" style="12"/>
    <col min="8705" max="8705" width="27.42578125" style="12" customWidth="1"/>
    <col min="8706" max="8714" width="9" style="12" customWidth="1"/>
    <col min="8715" max="8717" width="0" style="12" hidden="1" customWidth="1"/>
    <col min="8718" max="8718" width="2.140625" style="12" customWidth="1"/>
    <col min="8719" max="8719" width="11.5703125" style="12" customWidth="1"/>
    <col min="8720" max="8720" width="2.140625" style="12" customWidth="1"/>
    <col min="8721" max="8721" width="11.85546875" style="12" customWidth="1"/>
    <col min="8722" max="8722" width="5.7109375" style="12" bestFit="1" customWidth="1"/>
    <col min="8723" max="8960" width="9.140625" style="12"/>
    <col min="8961" max="8961" width="27.42578125" style="12" customWidth="1"/>
    <col min="8962" max="8970" width="9" style="12" customWidth="1"/>
    <col min="8971" max="8973" width="0" style="12" hidden="1" customWidth="1"/>
    <col min="8974" max="8974" width="2.140625" style="12" customWidth="1"/>
    <col min="8975" max="8975" width="11.5703125" style="12" customWidth="1"/>
    <col min="8976" max="8976" width="2.140625" style="12" customWidth="1"/>
    <col min="8977" max="8977" width="11.85546875" style="12" customWidth="1"/>
    <col min="8978" max="8978" width="5.7109375" style="12" bestFit="1" customWidth="1"/>
    <col min="8979" max="9216" width="9.140625" style="12"/>
    <col min="9217" max="9217" width="27.42578125" style="12" customWidth="1"/>
    <col min="9218" max="9226" width="9" style="12" customWidth="1"/>
    <col min="9227" max="9229" width="0" style="12" hidden="1" customWidth="1"/>
    <col min="9230" max="9230" width="2.140625" style="12" customWidth="1"/>
    <col min="9231" max="9231" width="11.5703125" style="12" customWidth="1"/>
    <col min="9232" max="9232" width="2.140625" style="12" customWidth="1"/>
    <col min="9233" max="9233" width="11.85546875" style="12" customWidth="1"/>
    <col min="9234" max="9234" width="5.7109375" style="12" bestFit="1" customWidth="1"/>
    <col min="9235" max="9472" width="9.140625" style="12"/>
    <col min="9473" max="9473" width="27.42578125" style="12" customWidth="1"/>
    <col min="9474" max="9482" width="9" style="12" customWidth="1"/>
    <col min="9483" max="9485" width="0" style="12" hidden="1" customWidth="1"/>
    <col min="9486" max="9486" width="2.140625" style="12" customWidth="1"/>
    <col min="9487" max="9487" width="11.5703125" style="12" customWidth="1"/>
    <col min="9488" max="9488" width="2.140625" style="12" customWidth="1"/>
    <col min="9489" max="9489" width="11.85546875" style="12" customWidth="1"/>
    <col min="9490" max="9490" width="5.7109375" style="12" bestFit="1" customWidth="1"/>
    <col min="9491" max="9728" width="9.140625" style="12"/>
    <col min="9729" max="9729" width="27.42578125" style="12" customWidth="1"/>
    <col min="9730" max="9738" width="9" style="12" customWidth="1"/>
    <col min="9739" max="9741" width="0" style="12" hidden="1" customWidth="1"/>
    <col min="9742" max="9742" width="2.140625" style="12" customWidth="1"/>
    <col min="9743" max="9743" width="11.5703125" style="12" customWidth="1"/>
    <col min="9744" max="9744" width="2.140625" style="12" customWidth="1"/>
    <col min="9745" max="9745" width="11.85546875" style="12" customWidth="1"/>
    <col min="9746" max="9746" width="5.7109375" style="12" bestFit="1" customWidth="1"/>
    <col min="9747" max="9984" width="9.140625" style="12"/>
    <col min="9985" max="9985" width="27.42578125" style="12" customWidth="1"/>
    <col min="9986" max="9994" width="9" style="12" customWidth="1"/>
    <col min="9995" max="9997" width="0" style="12" hidden="1" customWidth="1"/>
    <col min="9998" max="9998" width="2.140625" style="12" customWidth="1"/>
    <col min="9999" max="9999" width="11.5703125" style="12" customWidth="1"/>
    <col min="10000" max="10000" width="2.140625" style="12" customWidth="1"/>
    <col min="10001" max="10001" width="11.85546875" style="12" customWidth="1"/>
    <col min="10002" max="10002" width="5.7109375" style="12" bestFit="1" customWidth="1"/>
    <col min="10003" max="10240" width="9.140625" style="12"/>
    <col min="10241" max="10241" width="27.42578125" style="12" customWidth="1"/>
    <col min="10242" max="10250" width="9" style="12" customWidth="1"/>
    <col min="10251" max="10253" width="0" style="12" hidden="1" customWidth="1"/>
    <col min="10254" max="10254" width="2.140625" style="12" customWidth="1"/>
    <col min="10255" max="10255" width="11.5703125" style="12" customWidth="1"/>
    <col min="10256" max="10256" width="2.140625" style="12" customWidth="1"/>
    <col min="10257" max="10257" width="11.85546875" style="12" customWidth="1"/>
    <col min="10258" max="10258" width="5.7109375" style="12" bestFit="1" customWidth="1"/>
    <col min="10259" max="10496" width="9.140625" style="12"/>
    <col min="10497" max="10497" width="27.42578125" style="12" customWidth="1"/>
    <col min="10498" max="10506" width="9" style="12" customWidth="1"/>
    <col min="10507" max="10509" width="0" style="12" hidden="1" customWidth="1"/>
    <col min="10510" max="10510" width="2.140625" style="12" customWidth="1"/>
    <col min="10511" max="10511" width="11.5703125" style="12" customWidth="1"/>
    <col min="10512" max="10512" width="2.140625" style="12" customWidth="1"/>
    <col min="10513" max="10513" width="11.85546875" style="12" customWidth="1"/>
    <col min="10514" max="10514" width="5.7109375" style="12" bestFit="1" customWidth="1"/>
    <col min="10515" max="10752" width="9.140625" style="12"/>
    <col min="10753" max="10753" width="27.42578125" style="12" customWidth="1"/>
    <col min="10754" max="10762" width="9" style="12" customWidth="1"/>
    <col min="10763" max="10765" width="0" style="12" hidden="1" customWidth="1"/>
    <col min="10766" max="10766" width="2.140625" style="12" customWidth="1"/>
    <col min="10767" max="10767" width="11.5703125" style="12" customWidth="1"/>
    <col min="10768" max="10768" width="2.140625" style="12" customWidth="1"/>
    <col min="10769" max="10769" width="11.85546875" style="12" customWidth="1"/>
    <col min="10770" max="10770" width="5.7109375" style="12" bestFit="1" customWidth="1"/>
    <col min="10771" max="11008" width="9.140625" style="12"/>
    <col min="11009" max="11009" width="27.42578125" style="12" customWidth="1"/>
    <col min="11010" max="11018" width="9" style="12" customWidth="1"/>
    <col min="11019" max="11021" width="0" style="12" hidden="1" customWidth="1"/>
    <col min="11022" max="11022" width="2.140625" style="12" customWidth="1"/>
    <col min="11023" max="11023" width="11.5703125" style="12" customWidth="1"/>
    <col min="11024" max="11024" width="2.140625" style="12" customWidth="1"/>
    <col min="11025" max="11025" width="11.85546875" style="12" customWidth="1"/>
    <col min="11026" max="11026" width="5.7109375" style="12" bestFit="1" customWidth="1"/>
    <col min="11027" max="11264" width="9.140625" style="12"/>
    <col min="11265" max="11265" width="27.42578125" style="12" customWidth="1"/>
    <col min="11266" max="11274" width="9" style="12" customWidth="1"/>
    <col min="11275" max="11277" width="0" style="12" hidden="1" customWidth="1"/>
    <col min="11278" max="11278" width="2.140625" style="12" customWidth="1"/>
    <col min="11279" max="11279" width="11.5703125" style="12" customWidth="1"/>
    <col min="11280" max="11280" width="2.140625" style="12" customWidth="1"/>
    <col min="11281" max="11281" width="11.85546875" style="12" customWidth="1"/>
    <col min="11282" max="11282" width="5.7109375" style="12" bestFit="1" customWidth="1"/>
    <col min="11283" max="11520" width="9.140625" style="12"/>
    <col min="11521" max="11521" width="27.42578125" style="12" customWidth="1"/>
    <col min="11522" max="11530" width="9" style="12" customWidth="1"/>
    <col min="11531" max="11533" width="0" style="12" hidden="1" customWidth="1"/>
    <col min="11534" max="11534" width="2.140625" style="12" customWidth="1"/>
    <col min="11535" max="11535" width="11.5703125" style="12" customWidth="1"/>
    <col min="11536" max="11536" width="2.140625" style="12" customWidth="1"/>
    <col min="11537" max="11537" width="11.85546875" style="12" customWidth="1"/>
    <col min="11538" max="11538" width="5.7109375" style="12" bestFit="1" customWidth="1"/>
    <col min="11539" max="11776" width="9.140625" style="12"/>
    <col min="11777" max="11777" width="27.42578125" style="12" customWidth="1"/>
    <col min="11778" max="11786" width="9" style="12" customWidth="1"/>
    <col min="11787" max="11789" width="0" style="12" hidden="1" customWidth="1"/>
    <col min="11790" max="11790" width="2.140625" style="12" customWidth="1"/>
    <col min="11791" max="11791" width="11.5703125" style="12" customWidth="1"/>
    <col min="11792" max="11792" width="2.140625" style="12" customWidth="1"/>
    <col min="11793" max="11793" width="11.85546875" style="12" customWidth="1"/>
    <col min="11794" max="11794" width="5.7109375" style="12" bestFit="1" customWidth="1"/>
    <col min="11795" max="12032" width="9.140625" style="12"/>
    <col min="12033" max="12033" width="27.42578125" style="12" customWidth="1"/>
    <col min="12034" max="12042" width="9" style="12" customWidth="1"/>
    <col min="12043" max="12045" width="0" style="12" hidden="1" customWidth="1"/>
    <col min="12046" max="12046" width="2.140625" style="12" customWidth="1"/>
    <col min="12047" max="12047" width="11.5703125" style="12" customWidth="1"/>
    <col min="12048" max="12048" width="2.140625" style="12" customWidth="1"/>
    <col min="12049" max="12049" width="11.85546875" style="12" customWidth="1"/>
    <col min="12050" max="12050" width="5.7109375" style="12" bestFit="1" customWidth="1"/>
    <col min="12051" max="12288" width="9.140625" style="12"/>
    <col min="12289" max="12289" width="27.42578125" style="12" customWidth="1"/>
    <col min="12290" max="12298" width="9" style="12" customWidth="1"/>
    <col min="12299" max="12301" width="0" style="12" hidden="1" customWidth="1"/>
    <col min="12302" max="12302" width="2.140625" style="12" customWidth="1"/>
    <col min="12303" max="12303" width="11.5703125" style="12" customWidth="1"/>
    <col min="12304" max="12304" width="2.140625" style="12" customWidth="1"/>
    <col min="12305" max="12305" width="11.85546875" style="12" customWidth="1"/>
    <col min="12306" max="12306" width="5.7109375" style="12" bestFit="1" customWidth="1"/>
    <col min="12307" max="12544" width="9.140625" style="12"/>
    <col min="12545" max="12545" width="27.42578125" style="12" customWidth="1"/>
    <col min="12546" max="12554" width="9" style="12" customWidth="1"/>
    <col min="12555" max="12557" width="0" style="12" hidden="1" customWidth="1"/>
    <col min="12558" max="12558" width="2.140625" style="12" customWidth="1"/>
    <col min="12559" max="12559" width="11.5703125" style="12" customWidth="1"/>
    <col min="12560" max="12560" width="2.140625" style="12" customWidth="1"/>
    <col min="12561" max="12561" width="11.85546875" style="12" customWidth="1"/>
    <col min="12562" max="12562" width="5.7109375" style="12" bestFit="1" customWidth="1"/>
    <col min="12563" max="12800" width="9.140625" style="12"/>
    <col min="12801" max="12801" width="27.42578125" style="12" customWidth="1"/>
    <col min="12802" max="12810" width="9" style="12" customWidth="1"/>
    <col min="12811" max="12813" width="0" style="12" hidden="1" customWidth="1"/>
    <col min="12814" max="12814" width="2.140625" style="12" customWidth="1"/>
    <col min="12815" max="12815" width="11.5703125" style="12" customWidth="1"/>
    <col min="12816" max="12816" width="2.140625" style="12" customWidth="1"/>
    <col min="12817" max="12817" width="11.85546875" style="12" customWidth="1"/>
    <col min="12818" max="12818" width="5.7109375" style="12" bestFit="1" customWidth="1"/>
    <col min="12819" max="13056" width="9.140625" style="12"/>
    <col min="13057" max="13057" width="27.42578125" style="12" customWidth="1"/>
    <col min="13058" max="13066" width="9" style="12" customWidth="1"/>
    <col min="13067" max="13069" width="0" style="12" hidden="1" customWidth="1"/>
    <col min="13070" max="13070" width="2.140625" style="12" customWidth="1"/>
    <col min="13071" max="13071" width="11.5703125" style="12" customWidth="1"/>
    <col min="13072" max="13072" width="2.140625" style="12" customWidth="1"/>
    <col min="13073" max="13073" width="11.85546875" style="12" customWidth="1"/>
    <col min="13074" max="13074" width="5.7109375" style="12" bestFit="1" customWidth="1"/>
    <col min="13075" max="13312" width="9.140625" style="12"/>
    <col min="13313" max="13313" width="27.42578125" style="12" customWidth="1"/>
    <col min="13314" max="13322" width="9" style="12" customWidth="1"/>
    <col min="13323" max="13325" width="0" style="12" hidden="1" customWidth="1"/>
    <col min="13326" max="13326" width="2.140625" style="12" customWidth="1"/>
    <col min="13327" max="13327" width="11.5703125" style="12" customWidth="1"/>
    <col min="13328" max="13328" width="2.140625" style="12" customWidth="1"/>
    <col min="13329" max="13329" width="11.85546875" style="12" customWidth="1"/>
    <col min="13330" max="13330" width="5.7109375" style="12" bestFit="1" customWidth="1"/>
    <col min="13331" max="13568" width="9.140625" style="12"/>
    <col min="13569" max="13569" width="27.42578125" style="12" customWidth="1"/>
    <col min="13570" max="13578" width="9" style="12" customWidth="1"/>
    <col min="13579" max="13581" width="0" style="12" hidden="1" customWidth="1"/>
    <col min="13582" max="13582" width="2.140625" style="12" customWidth="1"/>
    <col min="13583" max="13583" width="11.5703125" style="12" customWidth="1"/>
    <col min="13584" max="13584" width="2.140625" style="12" customWidth="1"/>
    <col min="13585" max="13585" width="11.85546875" style="12" customWidth="1"/>
    <col min="13586" max="13586" width="5.7109375" style="12" bestFit="1" customWidth="1"/>
    <col min="13587" max="13824" width="9.140625" style="12"/>
    <col min="13825" max="13825" width="27.42578125" style="12" customWidth="1"/>
    <col min="13826" max="13834" width="9" style="12" customWidth="1"/>
    <col min="13835" max="13837" width="0" style="12" hidden="1" customWidth="1"/>
    <col min="13838" max="13838" width="2.140625" style="12" customWidth="1"/>
    <col min="13839" max="13839" width="11.5703125" style="12" customWidth="1"/>
    <col min="13840" max="13840" width="2.140625" style="12" customWidth="1"/>
    <col min="13841" max="13841" width="11.85546875" style="12" customWidth="1"/>
    <col min="13842" max="13842" width="5.7109375" style="12" bestFit="1" customWidth="1"/>
    <col min="13843" max="14080" width="9.140625" style="12"/>
    <col min="14081" max="14081" width="27.42578125" style="12" customWidth="1"/>
    <col min="14082" max="14090" width="9" style="12" customWidth="1"/>
    <col min="14091" max="14093" width="0" style="12" hidden="1" customWidth="1"/>
    <col min="14094" max="14094" width="2.140625" style="12" customWidth="1"/>
    <col min="14095" max="14095" width="11.5703125" style="12" customWidth="1"/>
    <col min="14096" max="14096" width="2.140625" style="12" customWidth="1"/>
    <col min="14097" max="14097" width="11.85546875" style="12" customWidth="1"/>
    <col min="14098" max="14098" width="5.7109375" style="12" bestFit="1" customWidth="1"/>
    <col min="14099" max="14336" width="9.140625" style="12"/>
    <col min="14337" max="14337" width="27.42578125" style="12" customWidth="1"/>
    <col min="14338" max="14346" width="9" style="12" customWidth="1"/>
    <col min="14347" max="14349" width="0" style="12" hidden="1" customWidth="1"/>
    <col min="14350" max="14350" width="2.140625" style="12" customWidth="1"/>
    <col min="14351" max="14351" width="11.5703125" style="12" customWidth="1"/>
    <col min="14352" max="14352" width="2.140625" style="12" customWidth="1"/>
    <col min="14353" max="14353" width="11.85546875" style="12" customWidth="1"/>
    <col min="14354" max="14354" width="5.7109375" style="12" bestFit="1" customWidth="1"/>
    <col min="14355" max="14592" width="9.140625" style="12"/>
    <col min="14593" max="14593" width="27.42578125" style="12" customWidth="1"/>
    <col min="14594" max="14602" width="9" style="12" customWidth="1"/>
    <col min="14603" max="14605" width="0" style="12" hidden="1" customWidth="1"/>
    <col min="14606" max="14606" width="2.140625" style="12" customWidth="1"/>
    <col min="14607" max="14607" width="11.5703125" style="12" customWidth="1"/>
    <col min="14608" max="14608" width="2.140625" style="12" customWidth="1"/>
    <col min="14609" max="14609" width="11.85546875" style="12" customWidth="1"/>
    <col min="14610" max="14610" width="5.7109375" style="12" bestFit="1" customWidth="1"/>
    <col min="14611" max="14848" width="9.140625" style="12"/>
    <col min="14849" max="14849" width="27.42578125" style="12" customWidth="1"/>
    <col min="14850" max="14858" width="9" style="12" customWidth="1"/>
    <col min="14859" max="14861" width="0" style="12" hidden="1" customWidth="1"/>
    <col min="14862" max="14862" width="2.140625" style="12" customWidth="1"/>
    <col min="14863" max="14863" width="11.5703125" style="12" customWidth="1"/>
    <col min="14864" max="14864" width="2.140625" style="12" customWidth="1"/>
    <col min="14865" max="14865" width="11.85546875" style="12" customWidth="1"/>
    <col min="14866" max="14866" width="5.7109375" style="12" bestFit="1" customWidth="1"/>
    <col min="14867" max="15104" width="9.140625" style="12"/>
    <col min="15105" max="15105" width="27.42578125" style="12" customWidth="1"/>
    <col min="15106" max="15114" width="9" style="12" customWidth="1"/>
    <col min="15115" max="15117" width="0" style="12" hidden="1" customWidth="1"/>
    <col min="15118" max="15118" width="2.140625" style="12" customWidth="1"/>
    <col min="15119" max="15119" width="11.5703125" style="12" customWidth="1"/>
    <col min="15120" max="15120" width="2.140625" style="12" customWidth="1"/>
    <col min="15121" max="15121" width="11.85546875" style="12" customWidth="1"/>
    <col min="15122" max="15122" width="5.7109375" style="12" bestFit="1" customWidth="1"/>
    <col min="15123" max="15360" width="9.140625" style="12"/>
    <col min="15361" max="15361" width="27.42578125" style="12" customWidth="1"/>
    <col min="15362" max="15370" width="9" style="12" customWidth="1"/>
    <col min="15371" max="15373" width="0" style="12" hidden="1" customWidth="1"/>
    <col min="15374" max="15374" width="2.140625" style="12" customWidth="1"/>
    <col min="15375" max="15375" width="11.5703125" style="12" customWidth="1"/>
    <col min="15376" max="15376" width="2.140625" style="12" customWidth="1"/>
    <col min="15377" max="15377" width="11.85546875" style="12" customWidth="1"/>
    <col min="15378" max="15378" width="5.7109375" style="12" bestFit="1" customWidth="1"/>
    <col min="15379" max="15616" width="9.140625" style="12"/>
    <col min="15617" max="15617" width="27.42578125" style="12" customWidth="1"/>
    <col min="15618" max="15626" width="9" style="12" customWidth="1"/>
    <col min="15627" max="15629" width="0" style="12" hidden="1" customWidth="1"/>
    <col min="15630" max="15630" width="2.140625" style="12" customWidth="1"/>
    <col min="15631" max="15631" width="11.5703125" style="12" customWidth="1"/>
    <col min="15632" max="15632" width="2.140625" style="12" customWidth="1"/>
    <col min="15633" max="15633" width="11.85546875" style="12" customWidth="1"/>
    <col min="15634" max="15634" width="5.7109375" style="12" bestFit="1" customWidth="1"/>
    <col min="15635" max="15872" width="9.140625" style="12"/>
    <col min="15873" max="15873" width="27.42578125" style="12" customWidth="1"/>
    <col min="15874" max="15882" width="9" style="12" customWidth="1"/>
    <col min="15883" max="15885" width="0" style="12" hidden="1" customWidth="1"/>
    <col min="15886" max="15886" width="2.140625" style="12" customWidth="1"/>
    <col min="15887" max="15887" width="11.5703125" style="12" customWidth="1"/>
    <col min="15888" max="15888" width="2.140625" style="12" customWidth="1"/>
    <col min="15889" max="15889" width="11.85546875" style="12" customWidth="1"/>
    <col min="15890" max="15890" width="5.7109375" style="12" bestFit="1" customWidth="1"/>
    <col min="15891" max="16128" width="9.140625" style="12"/>
    <col min="16129" max="16129" width="27.42578125" style="12" customWidth="1"/>
    <col min="16130" max="16138" width="9" style="12" customWidth="1"/>
    <col min="16139" max="16141" width="0" style="12" hidden="1" customWidth="1"/>
    <col min="16142" max="16142" width="2.140625" style="12" customWidth="1"/>
    <col min="16143" max="16143" width="11.5703125" style="12" customWidth="1"/>
    <col min="16144" max="16144" width="2.140625" style="12" customWidth="1"/>
    <col min="16145" max="16145" width="11.85546875" style="12" customWidth="1"/>
    <col min="16146" max="16146" width="5.7109375" style="12" bestFit="1" customWidth="1"/>
    <col min="16147" max="16384" width="9.140625" style="12"/>
  </cols>
  <sheetData>
    <row r="1" spans="1:18" ht="23.25" x14ac:dyDescent="0.35">
      <c r="A1" s="134" t="s">
        <v>336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</row>
    <row r="3" spans="1:18" s="5" customFormat="1" x14ac:dyDescent="0.2">
      <c r="A3" s="2" t="s">
        <v>217</v>
      </c>
      <c r="B3" s="3" t="s">
        <v>218</v>
      </c>
      <c r="C3" s="3" t="s">
        <v>219</v>
      </c>
      <c r="D3" s="3" t="s">
        <v>220</v>
      </c>
      <c r="E3" s="3" t="s">
        <v>221</v>
      </c>
      <c r="F3" s="3" t="s">
        <v>222</v>
      </c>
      <c r="G3" s="3" t="s">
        <v>223</v>
      </c>
      <c r="H3" s="3" t="s">
        <v>224</v>
      </c>
      <c r="I3" s="3" t="s">
        <v>225</v>
      </c>
      <c r="J3" s="3" t="s">
        <v>226</v>
      </c>
      <c r="K3" s="3" t="s">
        <v>227</v>
      </c>
      <c r="L3" s="3" t="s">
        <v>228</v>
      </c>
      <c r="M3" s="3" t="s">
        <v>229</v>
      </c>
      <c r="N3" s="4"/>
      <c r="O3" s="4"/>
      <c r="P3" s="4"/>
      <c r="Q3" s="3" t="s">
        <v>231</v>
      </c>
      <c r="R3" s="3" t="s">
        <v>232</v>
      </c>
    </row>
    <row r="4" spans="1:18" s="5" customFormat="1" hidden="1" x14ac:dyDescent="0.2">
      <c r="A4" s="6"/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  <c r="N4" s="4"/>
      <c r="O4" s="7"/>
      <c r="P4" s="4"/>
      <c r="Q4" s="7">
        <f>[2]MOV.FINANCEIRO!AC4</f>
        <v>12</v>
      </c>
      <c r="R4" s="7"/>
    </row>
    <row r="5" spans="1:18" s="5" customFormat="1" ht="18" customHeight="1" x14ac:dyDescent="0.2">
      <c r="A5" s="8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">
      <c r="A6" s="9" t="s">
        <v>241</v>
      </c>
      <c r="B6" s="10">
        <v>84481.970000000016</v>
      </c>
      <c r="C6" s="10">
        <v>66913.09</v>
      </c>
      <c r="D6" s="10">
        <v>72421.399999999994</v>
      </c>
      <c r="E6" s="10">
        <v>62988.290000000008</v>
      </c>
      <c r="F6" s="10">
        <v>61003.64</v>
      </c>
      <c r="G6" s="10">
        <v>66632.03</v>
      </c>
      <c r="H6" s="10">
        <v>78166.69</v>
      </c>
      <c r="I6" s="10">
        <v>78189.61</v>
      </c>
      <c r="J6" s="10">
        <v>91239.21</v>
      </c>
      <c r="K6" s="10">
        <v>75333.329999999987</v>
      </c>
      <c r="L6" s="10">
        <v>113148.69</v>
      </c>
      <c r="M6" s="10">
        <v>71380.58</v>
      </c>
      <c r="N6" s="11"/>
      <c r="O6" s="10">
        <f>SUM(B6:N6)</f>
        <v>921898.52999999991</v>
      </c>
      <c r="P6" s="11"/>
      <c r="Q6" s="10">
        <f>O6/$Q$4</f>
        <v>76824.877499999988</v>
      </c>
    </row>
    <row r="7" spans="1:18" x14ac:dyDescent="0.2">
      <c r="A7" s="9" t="s">
        <v>233</v>
      </c>
      <c r="B7" s="10">
        <v>2857.3</v>
      </c>
      <c r="C7" s="10">
        <v>3552.66</v>
      </c>
      <c r="D7" s="10">
        <v>3400.9700000000003</v>
      </c>
      <c r="E7" s="10">
        <v>3378.58</v>
      </c>
      <c r="F7" s="10">
        <v>2455.58</v>
      </c>
      <c r="G7" s="10">
        <v>2247.3000000000002</v>
      </c>
      <c r="H7" s="10">
        <v>3486.24</v>
      </c>
      <c r="I7" s="10">
        <v>5143.49</v>
      </c>
      <c r="J7" s="10">
        <v>5077.2</v>
      </c>
      <c r="K7" s="10">
        <v>1259.0600000000002</v>
      </c>
      <c r="L7" s="10">
        <v>615.94000000000005</v>
      </c>
      <c r="M7" s="10">
        <v>875.13</v>
      </c>
      <c r="N7" s="11"/>
      <c r="O7" s="10">
        <f>SUM(B7:N7)</f>
        <v>34349.449999999997</v>
      </c>
      <c r="P7" s="11"/>
      <c r="Q7" s="10">
        <f>O7/$Q$4</f>
        <v>2862.4541666666664</v>
      </c>
    </row>
    <row r="8" spans="1:18" s="5" customFormat="1" x14ac:dyDescent="0.2">
      <c r="A8" s="15" t="s">
        <v>234</v>
      </c>
      <c r="B8" s="16">
        <v>87339.270000000019</v>
      </c>
      <c r="C8" s="16">
        <v>70465.75</v>
      </c>
      <c r="D8" s="16">
        <v>75822.37</v>
      </c>
      <c r="E8" s="16">
        <v>66366.87000000001</v>
      </c>
      <c r="F8" s="16">
        <v>63459.22</v>
      </c>
      <c r="G8" s="16">
        <v>68879.33</v>
      </c>
      <c r="H8" s="16">
        <v>81652.930000000008</v>
      </c>
      <c r="I8" s="16">
        <v>83333.100000000006</v>
      </c>
      <c r="J8" s="16">
        <v>96316.41</v>
      </c>
      <c r="K8" s="16">
        <v>76592.389999999985</v>
      </c>
      <c r="L8" s="16">
        <v>113764.63</v>
      </c>
      <c r="M8" s="16">
        <v>72255.710000000006</v>
      </c>
      <c r="N8" s="17"/>
      <c r="O8" s="16">
        <f>SUM(O6:O7)</f>
        <v>956247.97999999986</v>
      </c>
      <c r="P8" s="17"/>
      <c r="Q8" s="16">
        <f>SUM(Q6:Q7)</f>
        <v>79687.331666666651</v>
      </c>
      <c r="R8" s="63">
        <v>1</v>
      </c>
    </row>
    <row r="9" spans="1:18" s="5" customFormat="1" x14ac:dyDescent="0.2">
      <c r="A9" s="2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64"/>
    </row>
    <row r="10" spans="1:18" s="5" customFormat="1" ht="18.75" customHeight="1" x14ac:dyDescent="0.2">
      <c r="A10" s="8" t="s">
        <v>256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2">
      <c r="A11" s="13" t="s">
        <v>242</v>
      </c>
      <c r="B11" s="10">
        <v>37644.720000000001</v>
      </c>
      <c r="C11" s="10">
        <v>19680.78</v>
      </c>
      <c r="D11" s="10">
        <v>41342.459999999985</v>
      </c>
      <c r="E11" s="10">
        <v>35484.840000000004</v>
      </c>
      <c r="F11" s="10">
        <v>32408.960000000003</v>
      </c>
      <c r="G11" s="10">
        <v>77362.040000000008</v>
      </c>
      <c r="H11" s="10">
        <v>40931.060000000012</v>
      </c>
      <c r="I11" s="10">
        <v>42845.790000000023</v>
      </c>
      <c r="J11" s="10">
        <v>34605.24</v>
      </c>
      <c r="K11" s="10">
        <v>40507.51</v>
      </c>
      <c r="L11" s="10">
        <v>31585.309999999998</v>
      </c>
      <c r="M11" s="10">
        <v>39881.39</v>
      </c>
      <c r="N11" s="17"/>
      <c r="O11" s="10">
        <f t="shared" ref="O11:O30" si="0">SUM(B11:N11)</f>
        <v>474280.10000000003</v>
      </c>
      <c r="P11" s="17"/>
      <c r="Q11" s="10">
        <f t="shared" ref="Q11:Q17" si="1">O11/$Q$4</f>
        <v>39523.341666666667</v>
      </c>
      <c r="R11" s="57">
        <f>O11/$O$8</f>
        <v>0.49598023726021373</v>
      </c>
    </row>
    <row r="12" spans="1:18" x14ac:dyDescent="0.2">
      <c r="A12" s="13" t="s">
        <v>243</v>
      </c>
      <c r="B12" s="10">
        <v>13317.800000000007</v>
      </c>
      <c r="C12" s="10">
        <v>13924.710000000001</v>
      </c>
      <c r="D12" s="10">
        <v>4413.909999999998</v>
      </c>
      <c r="E12" s="10">
        <v>10225.349999999999</v>
      </c>
      <c r="F12" s="10">
        <v>8816.5399999999991</v>
      </c>
      <c r="G12" s="10">
        <v>14505.370000000003</v>
      </c>
      <c r="H12" s="10">
        <v>18271.129999999979</v>
      </c>
      <c r="I12" s="10">
        <v>10816.08</v>
      </c>
      <c r="J12" s="10">
        <v>14782.490000000002</v>
      </c>
      <c r="K12" s="10">
        <v>10821.920000000004</v>
      </c>
      <c r="L12" s="10">
        <v>11772.150000000003</v>
      </c>
      <c r="M12" s="10">
        <v>6390.7400000000007</v>
      </c>
      <c r="N12" s="17"/>
      <c r="O12" s="10">
        <f t="shared" si="0"/>
        <v>138058.18999999997</v>
      </c>
      <c r="P12" s="17"/>
      <c r="Q12" s="10">
        <f t="shared" si="1"/>
        <v>11504.849166666665</v>
      </c>
      <c r="R12" s="57">
        <f t="shared" ref="R12:R17" si="2">O12/$O$8</f>
        <v>0.14437488275792226</v>
      </c>
    </row>
    <row r="13" spans="1:18" x14ac:dyDescent="0.2">
      <c r="A13" s="13" t="s">
        <v>244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1"/>
      <c r="O13" s="10">
        <f t="shared" si="0"/>
        <v>0</v>
      </c>
      <c r="P13" s="17"/>
      <c r="Q13" s="10">
        <f t="shared" si="1"/>
        <v>0</v>
      </c>
      <c r="R13" s="57">
        <f t="shared" si="2"/>
        <v>0</v>
      </c>
    </row>
    <row r="14" spans="1:18" x14ac:dyDescent="0.2">
      <c r="A14" s="13" t="s">
        <v>245</v>
      </c>
      <c r="B14" s="10">
        <v>1696</v>
      </c>
      <c r="C14" s="10">
        <v>19409.779999999984</v>
      </c>
      <c r="D14" s="10">
        <v>4260.45</v>
      </c>
      <c r="E14" s="10">
        <v>0</v>
      </c>
      <c r="F14" s="10">
        <v>0</v>
      </c>
      <c r="G14" s="10">
        <v>0</v>
      </c>
      <c r="H14" s="10">
        <v>13220.27</v>
      </c>
      <c r="I14" s="10">
        <v>11451.72</v>
      </c>
      <c r="J14" s="10">
        <v>12705.73</v>
      </c>
      <c r="K14" s="10">
        <v>14599.65</v>
      </c>
      <c r="L14" s="10">
        <v>26415.500000000004</v>
      </c>
      <c r="M14" s="10">
        <v>35334.219999999994</v>
      </c>
      <c r="N14" s="11"/>
      <c r="O14" s="10">
        <f t="shared" si="0"/>
        <v>139093.31999999998</v>
      </c>
      <c r="P14" s="17"/>
      <c r="Q14" s="10">
        <f t="shared" si="1"/>
        <v>11591.109999999999</v>
      </c>
      <c r="R14" s="57">
        <f t="shared" si="2"/>
        <v>0.14545737393348532</v>
      </c>
    </row>
    <row r="15" spans="1:18" x14ac:dyDescent="0.2">
      <c r="A15" s="13" t="s">
        <v>246</v>
      </c>
      <c r="B15" s="10">
        <v>3035.07</v>
      </c>
      <c r="C15" s="10">
        <v>2055</v>
      </c>
      <c r="D15" s="10">
        <v>1980</v>
      </c>
      <c r="E15" s="10">
        <v>1880</v>
      </c>
      <c r="F15" s="10">
        <v>1830</v>
      </c>
      <c r="G15" s="10">
        <v>1895</v>
      </c>
      <c r="H15" s="10">
        <v>2810</v>
      </c>
      <c r="I15" s="10">
        <v>570</v>
      </c>
      <c r="J15" s="10">
        <v>4880</v>
      </c>
      <c r="K15" s="10">
        <v>1700</v>
      </c>
      <c r="L15" s="10">
        <v>1685</v>
      </c>
      <c r="M15" s="10">
        <v>1700</v>
      </c>
      <c r="N15" s="11"/>
      <c r="O15" s="10">
        <f t="shared" si="0"/>
        <v>26020.07</v>
      </c>
      <c r="P15" s="17"/>
      <c r="Q15" s="10">
        <f t="shared" si="1"/>
        <v>2168.3391666666666</v>
      </c>
      <c r="R15" s="57">
        <f t="shared" si="2"/>
        <v>2.7210588199098735E-2</v>
      </c>
    </row>
    <row r="16" spans="1:18" x14ac:dyDescent="0.2">
      <c r="A16" s="13" t="s">
        <v>247</v>
      </c>
      <c r="B16" s="10">
        <v>10300.5</v>
      </c>
      <c r="C16" s="10">
        <v>7943.01</v>
      </c>
      <c r="D16" s="10">
        <v>8162.84</v>
      </c>
      <c r="E16" s="10">
        <v>10559.1</v>
      </c>
      <c r="F16" s="10">
        <v>10088.619999999999</v>
      </c>
      <c r="G16" s="10">
        <v>12541.96</v>
      </c>
      <c r="H16" s="10">
        <v>8374.6899999999987</v>
      </c>
      <c r="I16" s="10">
        <v>13504.24</v>
      </c>
      <c r="J16" s="10">
        <v>8174.98</v>
      </c>
      <c r="K16" s="10">
        <v>10242.120000000003</v>
      </c>
      <c r="L16" s="10">
        <v>7139.52</v>
      </c>
      <c r="M16" s="10">
        <v>14830.09</v>
      </c>
      <c r="N16" s="11"/>
      <c r="O16" s="10">
        <f t="shared" si="0"/>
        <v>121861.67</v>
      </c>
      <c r="P16" s="17"/>
      <c r="Q16" s="10">
        <f t="shared" si="1"/>
        <v>10155.139166666666</v>
      </c>
      <c r="R16" s="57">
        <f t="shared" si="2"/>
        <v>0.12743730972378109</v>
      </c>
    </row>
    <row r="17" spans="1:19" x14ac:dyDescent="0.2">
      <c r="A17" s="13" t="s">
        <v>248</v>
      </c>
      <c r="B17" s="10">
        <v>3650</v>
      </c>
      <c r="C17" s="10">
        <v>4628.82</v>
      </c>
      <c r="D17" s="10">
        <v>6617.5599999999995</v>
      </c>
      <c r="E17" s="10">
        <v>4150</v>
      </c>
      <c r="F17" s="10">
        <v>4735.99</v>
      </c>
      <c r="G17" s="10">
        <v>5071.63</v>
      </c>
      <c r="H17" s="10">
        <v>9174.2800000000007</v>
      </c>
      <c r="I17" s="10">
        <v>5184.0599999999995</v>
      </c>
      <c r="J17" s="10">
        <v>4600</v>
      </c>
      <c r="K17" s="10">
        <v>5242</v>
      </c>
      <c r="L17" s="10">
        <v>6134.1399999999994</v>
      </c>
      <c r="M17" s="10">
        <v>4158.16</v>
      </c>
      <c r="N17" s="11"/>
      <c r="O17" s="10">
        <f t="shared" si="0"/>
        <v>63346.64</v>
      </c>
      <c r="P17" s="17"/>
      <c r="Q17" s="10">
        <f t="shared" si="1"/>
        <v>5278.8866666666663</v>
      </c>
      <c r="R17" s="57">
        <f t="shared" si="2"/>
        <v>6.624499222471561E-2</v>
      </c>
    </row>
    <row r="18" spans="1:19" s="5" customFormat="1" x14ac:dyDescent="0.2">
      <c r="A18" s="15" t="s">
        <v>260</v>
      </c>
      <c r="B18" s="16">
        <v>69644.09</v>
      </c>
      <c r="C18" s="16">
        <v>67642.099999999977</v>
      </c>
      <c r="D18" s="16">
        <v>66777.219999999972</v>
      </c>
      <c r="E18" s="16">
        <v>62299.29</v>
      </c>
      <c r="F18" s="16">
        <v>57880.109999999993</v>
      </c>
      <c r="G18" s="16">
        <v>111376</v>
      </c>
      <c r="H18" s="16">
        <v>92781.43</v>
      </c>
      <c r="I18" s="16">
        <v>84371.890000000029</v>
      </c>
      <c r="J18" s="16">
        <v>79748.439999999988</v>
      </c>
      <c r="K18" s="16">
        <v>83113.200000000012</v>
      </c>
      <c r="L18" s="16">
        <v>84731.62000000001</v>
      </c>
      <c r="M18" s="16">
        <v>102294.59999999999</v>
      </c>
      <c r="N18" s="17"/>
      <c r="O18" s="16">
        <f>SUM(O11:O17)</f>
        <v>962659.99</v>
      </c>
      <c r="P18" s="17"/>
      <c r="Q18" s="16">
        <f>SUM(Q11:Q17)</f>
        <v>80221.665833333333</v>
      </c>
      <c r="R18" s="63">
        <f>SUM(R11:R17)</f>
        <v>1.0067053840992168</v>
      </c>
    </row>
    <row r="19" spans="1:19" s="5" customFormat="1" ht="23.25" customHeight="1" x14ac:dyDescent="0.2">
      <c r="A19" s="8" t="s">
        <v>257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9" x14ac:dyDescent="0.2">
      <c r="A20" s="13" t="s">
        <v>216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1993.97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1"/>
      <c r="O20" s="10">
        <f t="shared" ref="O20:O23" si="3">SUM(B20:N20)</f>
        <v>1993.97</v>
      </c>
      <c r="P20" s="11"/>
      <c r="Q20" s="10">
        <f t="shared" ref="Q20:Q23" si="4">O20/$Q$4</f>
        <v>166.16416666666666</v>
      </c>
      <c r="R20" s="57">
        <f t="shared" ref="R20:R23" si="5">O20/$O$8</f>
        <v>2.0852017904393382E-3</v>
      </c>
    </row>
    <row r="21" spans="1:19" x14ac:dyDescent="0.2">
      <c r="A21" s="13" t="s">
        <v>258</v>
      </c>
      <c r="B21" s="10">
        <v>2472.9300000000003</v>
      </c>
      <c r="C21" s="10">
        <v>8881.85</v>
      </c>
      <c r="D21" s="10">
        <v>5459.18</v>
      </c>
      <c r="E21" s="10">
        <v>3921.1000000000004</v>
      </c>
      <c r="F21" s="10">
        <v>4307.4600000000009</v>
      </c>
      <c r="G21" s="10">
        <v>6501.14</v>
      </c>
      <c r="H21" s="10">
        <v>13074.400000000003</v>
      </c>
      <c r="I21" s="10">
        <v>8652.8300000000017</v>
      </c>
      <c r="J21" s="10">
        <v>6839.51</v>
      </c>
      <c r="K21" s="10">
        <v>5202.58</v>
      </c>
      <c r="L21" s="10">
        <v>3570.9300000000003</v>
      </c>
      <c r="M21" s="10">
        <v>2081.48</v>
      </c>
      <c r="N21" s="11"/>
      <c r="O21" s="10">
        <f t="shared" si="3"/>
        <v>70965.39</v>
      </c>
      <c r="P21" s="11"/>
      <c r="Q21" s="10">
        <f t="shared" si="4"/>
        <v>5913.7825000000003</v>
      </c>
      <c r="R21" s="57">
        <f t="shared" si="5"/>
        <v>7.4212329316502207E-2</v>
      </c>
    </row>
    <row r="22" spans="1:19" x14ac:dyDescent="0.2">
      <c r="A22" s="13" t="s">
        <v>255</v>
      </c>
      <c r="B22" s="10">
        <v>8616.130000000001</v>
      </c>
      <c r="C22" s="10">
        <v>5595</v>
      </c>
      <c r="D22" s="10">
        <v>8636.01</v>
      </c>
      <c r="E22" s="10">
        <v>7972.25</v>
      </c>
      <c r="F22" s="10">
        <v>7474.07</v>
      </c>
      <c r="G22" s="10">
        <v>8149.99</v>
      </c>
      <c r="H22" s="10">
        <v>7544.2699999999995</v>
      </c>
      <c r="I22" s="10">
        <v>8125.18</v>
      </c>
      <c r="J22" s="10">
        <v>9371.07</v>
      </c>
      <c r="K22" s="10">
        <v>7428.75</v>
      </c>
      <c r="L22" s="10">
        <v>14304.15</v>
      </c>
      <c r="M22" s="10">
        <v>11652.07</v>
      </c>
      <c r="N22" s="11"/>
      <c r="O22" s="10">
        <f t="shared" si="3"/>
        <v>104868.94</v>
      </c>
      <c r="P22" s="11"/>
      <c r="Q22" s="10">
        <f t="shared" si="4"/>
        <v>8739.0783333333329</v>
      </c>
      <c r="R22" s="57">
        <f t="shared" si="5"/>
        <v>0.10966709702225987</v>
      </c>
    </row>
    <row r="23" spans="1:19" x14ac:dyDescent="0.2">
      <c r="A23" s="13" t="s">
        <v>249</v>
      </c>
      <c r="B23" s="10">
        <v>1439.8200000000002</v>
      </c>
      <c r="C23" s="10">
        <v>993.5</v>
      </c>
      <c r="D23" s="10">
        <v>1563.86</v>
      </c>
      <c r="E23" s="10">
        <v>2207.6300000000006</v>
      </c>
      <c r="F23" s="10">
        <v>2255.0400000000004</v>
      </c>
      <c r="G23" s="10">
        <v>2246.1800000000017</v>
      </c>
      <c r="H23" s="10">
        <v>2273.4599999999996</v>
      </c>
      <c r="I23" s="10">
        <v>2310.0300000000002</v>
      </c>
      <c r="J23" s="10">
        <v>2039.6599999999992</v>
      </c>
      <c r="K23" s="10">
        <v>2183.9900000000002</v>
      </c>
      <c r="L23" s="10">
        <v>2186.8000000000002</v>
      </c>
      <c r="M23" s="10">
        <v>2259.3800000000006</v>
      </c>
      <c r="N23" s="11"/>
      <c r="O23" s="10">
        <f t="shared" si="3"/>
        <v>23959.350000000006</v>
      </c>
      <c r="P23" s="11"/>
      <c r="Q23" s="10">
        <f t="shared" si="4"/>
        <v>1996.6125000000004</v>
      </c>
      <c r="R23" s="57">
        <f t="shared" si="5"/>
        <v>2.5055582339635382E-2</v>
      </c>
    </row>
    <row r="24" spans="1:19" s="5" customFormat="1" x14ac:dyDescent="0.2">
      <c r="A24" s="15" t="s">
        <v>259</v>
      </c>
      <c r="B24" s="16">
        <v>12528.880000000001</v>
      </c>
      <c r="C24" s="16">
        <v>15470.35</v>
      </c>
      <c r="D24" s="16">
        <v>15659.050000000001</v>
      </c>
      <c r="E24" s="16">
        <v>14100.980000000001</v>
      </c>
      <c r="F24" s="16">
        <v>14036.570000000002</v>
      </c>
      <c r="G24" s="16">
        <v>16897.310000000001</v>
      </c>
      <c r="H24" s="16">
        <v>24886.100000000002</v>
      </c>
      <c r="I24" s="16">
        <v>19088.04</v>
      </c>
      <c r="J24" s="16">
        <v>18250.239999999998</v>
      </c>
      <c r="K24" s="16">
        <v>14815.32</v>
      </c>
      <c r="L24" s="16">
        <v>20061.88</v>
      </c>
      <c r="M24" s="16">
        <v>15992.93</v>
      </c>
      <c r="N24" s="17"/>
      <c r="O24" s="16">
        <f>SUM(O20:O23)</f>
        <v>201787.65</v>
      </c>
      <c r="P24" s="17"/>
      <c r="Q24" s="16">
        <f>O24/$Q$4</f>
        <v>16815.637500000001</v>
      </c>
      <c r="R24" s="63">
        <f>SUM(R20:R23)</f>
        <v>0.21102021046883679</v>
      </c>
    </row>
    <row r="25" spans="1:19" s="5" customFormat="1" x14ac:dyDescent="0.2">
      <c r="A25" s="2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28"/>
    </row>
    <row r="26" spans="1:19" s="5" customFormat="1" x14ac:dyDescent="0.2">
      <c r="A26" s="15" t="s">
        <v>334</v>
      </c>
      <c r="B26" s="16">
        <f>B18+B24</f>
        <v>82172.97</v>
      </c>
      <c r="C26" s="16">
        <f t="shared" ref="C26:O26" si="6">C18+C24</f>
        <v>83112.449999999983</v>
      </c>
      <c r="D26" s="16">
        <f t="shared" si="6"/>
        <v>82436.269999999975</v>
      </c>
      <c r="E26" s="16">
        <f t="shared" si="6"/>
        <v>76400.27</v>
      </c>
      <c r="F26" s="16">
        <f t="shared" si="6"/>
        <v>71916.679999999993</v>
      </c>
      <c r="G26" s="16">
        <f t="shared" si="6"/>
        <v>128273.31</v>
      </c>
      <c r="H26" s="16">
        <f t="shared" si="6"/>
        <v>117667.53</v>
      </c>
      <c r="I26" s="16">
        <f t="shared" si="6"/>
        <v>103459.93000000002</v>
      </c>
      <c r="J26" s="16">
        <f t="shared" si="6"/>
        <v>97998.68</v>
      </c>
      <c r="K26" s="16">
        <f t="shared" si="6"/>
        <v>97928.520000000019</v>
      </c>
      <c r="L26" s="16">
        <f t="shared" si="6"/>
        <v>104793.50000000001</v>
      </c>
      <c r="M26" s="16">
        <f t="shared" si="6"/>
        <v>118287.53</v>
      </c>
      <c r="N26" s="17"/>
      <c r="O26" s="16">
        <f t="shared" si="6"/>
        <v>1164447.6399999999</v>
      </c>
      <c r="P26" s="17"/>
      <c r="Q26" s="16">
        <f>O26/$Q$4</f>
        <v>97037.30333333333</v>
      </c>
      <c r="R26" s="18">
        <f>SUM(R22:R25)</f>
        <v>0.34574288983073204</v>
      </c>
    </row>
    <row r="27" spans="1:19" s="5" customFormat="1" ht="19.5" hidden="1" customHeight="1" x14ac:dyDescent="0.2">
      <c r="A27" s="8" t="s">
        <v>250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9" hidden="1" x14ac:dyDescent="0.2">
      <c r="A28" s="13" t="s">
        <v>251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1"/>
      <c r="O28" s="10">
        <f t="shared" si="0"/>
        <v>0</v>
      </c>
      <c r="P28" s="11"/>
      <c r="Q28" s="4"/>
      <c r="R28" s="4"/>
    </row>
    <row r="29" spans="1:19" hidden="1" x14ac:dyDescent="0.2">
      <c r="A29" s="13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1"/>
      <c r="O29" s="10">
        <f t="shared" si="0"/>
        <v>0</v>
      </c>
      <c r="P29" s="11"/>
      <c r="Q29" s="4"/>
      <c r="R29" s="4"/>
    </row>
    <row r="30" spans="1:19" hidden="1" x14ac:dyDescent="0.2">
      <c r="A30" s="13" t="s">
        <v>253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1"/>
      <c r="O30" s="10">
        <f t="shared" si="0"/>
        <v>0</v>
      </c>
      <c r="P30" s="11"/>
      <c r="Q30" s="4"/>
      <c r="R30" s="4"/>
    </row>
    <row r="31" spans="1:19" s="5" customFormat="1" hidden="1" x14ac:dyDescent="0.2">
      <c r="A31" s="15" t="s">
        <v>254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7"/>
      <c r="O31" s="16">
        <f>SUM(O28:O30)</f>
        <v>0</v>
      </c>
      <c r="P31" s="17"/>
      <c r="Q31" s="16">
        <f>O31/$Q$4</f>
        <v>0</v>
      </c>
      <c r="R31" s="63">
        <f>-O31/O8</f>
        <v>0</v>
      </c>
    </row>
    <row r="32" spans="1:19" s="5" customFormat="1" x14ac:dyDescent="0.2">
      <c r="A32" s="8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8" s="5" customFormat="1" x14ac:dyDescent="0.2">
      <c r="A33" s="8" t="s">
        <v>289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">
      <c r="A34" s="13" t="s">
        <v>325</v>
      </c>
      <c r="B34" s="10">
        <v>0</v>
      </c>
      <c r="C34" s="10">
        <v>-19.980000000000018</v>
      </c>
      <c r="D34" s="10">
        <v>-14090.890000000003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-17617.239999999998</v>
      </c>
      <c r="L34" s="10">
        <v>41330.54</v>
      </c>
      <c r="M34" s="10">
        <v>0</v>
      </c>
      <c r="N34" s="17"/>
      <c r="O34" s="10">
        <f t="shared" ref="O34" si="7">SUM(B34:N34)</f>
        <v>9602.43</v>
      </c>
      <c r="P34" s="17"/>
      <c r="Q34" s="10">
        <f t="shared" ref="Q34" si="8">O34/$Q$4</f>
        <v>800.20249999999999</v>
      </c>
      <c r="R34" s="57">
        <f t="shared" ref="R34" si="9">O34/$O$8</f>
        <v>1.0041778075180877E-2</v>
      </c>
    </row>
    <row r="35" spans="1:18" x14ac:dyDescent="0.2">
      <c r="A35" s="15" t="s">
        <v>290</v>
      </c>
      <c r="B35" s="16">
        <v>0</v>
      </c>
      <c r="C35" s="16">
        <v>-19.980000000000018</v>
      </c>
      <c r="D35" s="16">
        <v>-14090.890000000003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-17617.239999999998</v>
      </c>
      <c r="L35" s="16">
        <v>41330.54</v>
      </c>
      <c r="M35" s="16">
        <v>0</v>
      </c>
      <c r="N35" s="17"/>
      <c r="O35" s="16">
        <f t="shared" ref="O35" si="10">O34</f>
        <v>9602.43</v>
      </c>
      <c r="P35" s="17"/>
      <c r="Q35" s="16">
        <f>O35/$Q$4</f>
        <v>800.20249999999999</v>
      </c>
      <c r="R35" s="63">
        <f>SUM(R31:R34)</f>
        <v>1.0041778075180877E-2</v>
      </c>
    </row>
    <row r="36" spans="1:18" s="5" customFormat="1" x14ac:dyDescent="0.2">
      <c r="A36" s="8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2">
      <c r="A37" s="21" t="s">
        <v>235</v>
      </c>
      <c r="B37" s="20">
        <v>5166.3000000000211</v>
      </c>
      <c r="C37" s="20">
        <v>-12666.679999999977</v>
      </c>
      <c r="D37" s="20">
        <v>-20704.789999999979</v>
      </c>
      <c r="E37" s="20">
        <v>-10033.399999999992</v>
      </c>
      <c r="F37" s="20">
        <v>-8457.4599999999937</v>
      </c>
      <c r="G37" s="20">
        <v>-59393.979999999996</v>
      </c>
      <c r="H37" s="20">
        <v>-36014.599999999991</v>
      </c>
      <c r="I37" s="20">
        <v>-20126.830000000024</v>
      </c>
      <c r="J37" s="20">
        <v>-1682.2699999999822</v>
      </c>
      <c r="K37" s="20">
        <v>-38953.370000000024</v>
      </c>
      <c r="L37" s="20">
        <v>50301.67</v>
      </c>
      <c r="M37" s="20">
        <v>-46031.819999999985</v>
      </c>
      <c r="O37" s="20">
        <f>O8-O18-O24+O31+O35</f>
        <v>-198597.23000000013</v>
      </c>
      <c r="Q37" s="16">
        <f>O37/$Q$4</f>
        <v>-16549.769166666676</v>
      </c>
      <c r="R37" s="65">
        <f>O37/O8</f>
        <v>-0.20768381649287265</v>
      </c>
    </row>
    <row r="38" spans="1:18" x14ac:dyDescent="0.2">
      <c r="Q38" s="4"/>
      <c r="R38" s="4"/>
    </row>
    <row r="39" spans="1:18" x14ac:dyDescent="0.2">
      <c r="A39" s="21" t="s">
        <v>236</v>
      </c>
      <c r="B39" s="20">
        <v>321348.92000000004</v>
      </c>
      <c r="C39" s="20">
        <v>308682.24000000005</v>
      </c>
      <c r="D39" s="20">
        <v>287977.45000000007</v>
      </c>
      <c r="E39" s="20">
        <v>277944.0500000001</v>
      </c>
      <c r="F39" s="20">
        <v>269486.59000000008</v>
      </c>
      <c r="G39" s="20">
        <v>210092.6100000001</v>
      </c>
      <c r="H39" s="20">
        <v>174078.01000000013</v>
      </c>
      <c r="I39" s="20">
        <v>153951.18000000011</v>
      </c>
      <c r="J39" s="20">
        <v>152268.91000000012</v>
      </c>
      <c r="K39" s="20">
        <v>113315.5400000001</v>
      </c>
      <c r="L39" s="20">
        <v>163617.21000000008</v>
      </c>
      <c r="M39" s="20">
        <v>117585.3900000001</v>
      </c>
      <c r="O39" s="20">
        <f>M39</f>
        <v>117585.3900000001</v>
      </c>
    </row>
    <row r="40" spans="1:18" x14ac:dyDescent="0.2">
      <c r="Q40" s="4"/>
      <c r="R40" s="4"/>
    </row>
    <row r="41" spans="1:18" x14ac:dyDescent="0.2">
      <c r="Q41" s="4"/>
      <c r="R41" s="4"/>
    </row>
    <row r="42" spans="1:18" x14ac:dyDescent="0.2">
      <c r="A42" s="2" t="s">
        <v>237</v>
      </c>
      <c r="B42" s="3" t="s">
        <v>218</v>
      </c>
      <c r="C42" s="3" t="s">
        <v>219</v>
      </c>
      <c r="D42" s="3" t="s">
        <v>220</v>
      </c>
      <c r="E42" s="3" t="s">
        <v>221</v>
      </c>
      <c r="F42" s="3" t="s">
        <v>222</v>
      </c>
      <c r="G42" s="3" t="s">
        <v>223</v>
      </c>
      <c r="H42" s="3" t="s">
        <v>224</v>
      </c>
      <c r="I42" s="3" t="s">
        <v>225</v>
      </c>
      <c r="J42" s="3" t="s">
        <v>226</v>
      </c>
      <c r="K42" s="3" t="s">
        <v>227</v>
      </c>
      <c r="L42" s="3" t="s">
        <v>228</v>
      </c>
      <c r="M42" s="3" t="s">
        <v>229</v>
      </c>
      <c r="Q42" s="4"/>
      <c r="R42" s="4"/>
    </row>
    <row r="43" spans="1:18" x14ac:dyDescent="0.2">
      <c r="A43" s="13" t="s">
        <v>238</v>
      </c>
      <c r="B43" s="10">
        <v>613.62000000000057</v>
      </c>
      <c r="C43" s="10">
        <v>3210.9800000000041</v>
      </c>
      <c r="D43" s="10">
        <v>1229.3599999999847</v>
      </c>
      <c r="E43" s="10">
        <v>3137.9299999999976</v>
      </c>
      <c r="F43" s="10">
        <v>395.32999999999026</v>
      </c>
      <c r="G43" s="10">
        <v>141.20000000002801</v>
      </c>
      <c r="H43" s="10">
        <v>2458.5200000000314</v>
      </c>
      <c r="I43" s="10">
        <v>3432.650000000036</v>
      </c>
      <c r="J43" s="10">
        <v>3957.5800000000409</v>
      </c>
      <c r="K43" s="10">
        <v>4090.5200000000418</v>
      </c>
      <c r="L43" s="10">
        <v>39166.409999999996</v>
      </c>
      <c r="M43" s="10">
        <v>144.32999999996173</v>
      </c>
    </row>
    <row r="44" spans="1:18" x14ac:dyDescent="0.2">
      <c r="A44" s="13" t="s">
        <v>239</v>
      </c>
      <c r="B44" s="10">
        <v>9603.11</v>
      </c>
      <c r="C44" s="10">
        <v>9425.5300000000007</v>
      </c>
      <c r="D44" s="10">
        <v>2</v>
      </c>
      <c r="E44" s="10">
        <v>424.3</v>
      </c>
      <c r="F44" s="10">
        <v>366.7</v>
      </c>
      <c r="G44" s="10">
        <v>309.10000000000002</v>
      </c>
      <c r="H44" s="10">
        <v>244.3</v>
      </c>
      <c r="I44" s="10">
        <v>179.5</v>
      </c>
      <c r="J44" s="10">
        <v>114.7</v>
      </c>
      <c r="K44" s="10">
        <v>12889.9</v>
      </c>
      <c r="L44" s="10">
        <v>3193.66</v>
      </c>
      <c r="M44" s="10">
        <v>2613.17</v>
      </c>
    </row>
    <row r="45" spans="1:18" x14ac:dyDescent="0.2">
      <c r="A45" s="13" t="s">
        <v>240</v>
      </c>
      <c r="B45" s="10">
        <v>311132.19</v>
      </c>
      <c r="C45" s="10">
        <v>303045.73</v>
      </c>
      <c r="D45" s="10">
        <v>292056.09000000003</v>
      </c>
      <c r="E45" s="10">
        <v>281381.82</v>
      </c>
      <c r="F45" s="10">
        <v>273989.56</v>
      </c>
      <c r="G45" s="10">
        <v>209642.31</v>
      </c>
      <c r="H45" s="10">
        <v>171375.19</v>
      </c>
      <c r="I45" s="10">
        <v>150339.03</v>
      </c>
      <c r="J45" s="10">
        <v>156196.63</v>
      </c>
      <c r="K45" s="10">
        <v>96335.12</v>
      </c>
      <c r="L45" s="10">
        <v>121257.14</v>
      </c>
      <c r="M45" s="10">
        <v>114827.89</v>
      </c>
    </row>
    <row r="46" spans="1:18" x14ac:dyDescent="0.2">
      <c r="A46" s="13" t="s">
        <v>288</v>
      </c>
      <c r="B46" s="10">
        <v>0</v>
      </c>
      <c r="C46" s="10">
        <v>7000</v>
      </c>
      <c r="D46" s="10">
        <v>5310</v>
      </c>
      <c r="E46" s="10">
        <v>7000</v>
      </c>
      <c r="F46" s="10">
        <v>5265</v>
      </c>
      <c r="G46" s="10">
        <v>0</v>
      </c>
      <c r="H46" s="10">
        <v>0</v>
      </c>
      <c r="I46" s="10">
        <v>0</v>
      </c>
      <c r="J46" s="10">
        <v>8000</v>
      </c>
      <c r="K46" s="10">
        <v>0</v>
      </c>
      <c r="L46" s="10">
        <v>0</v>
      </c>
      <c r="M46" s="10">
        <v>0</v>
      </c>
    </row>
    <row r="47" spans="1:18" x14ac:dyDescent="0.2">
      <c r="B47" s="16">
        <v>321348.92</v>
      </c>
      <c r="C47" s="16">
        <v>308682.23999999999</v>
      </c>
      <c r="D47" s="16">
        <v>287977.45</v>
      </c>
      <c r="E47" s="16">
        <v>277944.05</v>
      </c>
      <c r="F47" s="16">
        <v>269486.58999999997</v>
      </c>
      <c r="G47" s="16">
        <v>210092.61000000002</v>
      </c>
      <c r="H47" s="16">
        <v>174078.01000000004</v>
      </c>
      <c r="I47" s="16">
        <v>153951.18000000002</v>
      </c>
      <c r="J47" s="16">
        <v>152268.91000000003</v>
      </c>
      <c r="K47" s="16">
        <v>113315.54000000004</v>
      </c>
      <c r="L47" s="16">
        <v>163617.21</v>
      </c>
      <c r="M47" s="16">
        <v>117585.38999999996</v>
      </c>
    </row>
    <row r="49" spans="1:13" x14ac:dyDescent="0.2">
      <c r="A49" s="21" t="s">
        <v>235</v>
      </c>
      <c r="B49" s="20">
        <v>5166.3000000000211</v>
      </c>
      <c r="C49" s="20">
        <v>-12666.679999999977</v>
      </c>
      <c r="D49" s="20">
        <v>-20704.789999999979</v>
      </c>
      <c r="E49" s="20">
        <v>-10033.399999999992</v>
      </c>
      <c r="F49" s="20">
        <v>-8457.4599999999937</v>
      </c>
      <c r="G49" s="20">
        <v>-59393.979999999996</v>
      </c>
      <c r="H49" s="20">
        <v>-36014.599999999984</v>
      </c>
      <c r="I49" s="20">
        <v>-20126.830000000027</v>
      </c>
      <c r="J49" s="20">
        <v>-1682.2699999999859</v>
      </c>
      <c r="K49" s="20">
        <v>-38953.370000000024</v>
      </c>
      <c r="L49" s="20">
        <v>50301.67</v>
      </c>
      <c r="M49" s="20">
        <v>-46031.819999999985</v>
      </c>
    </row>
    <row r="51" spans="1:13" ht="17.25" customHeight="1" x14ac:dyDescent="0.2">
      <c r="J51" s="66" t="s">
        <v>326</v>
      </c>
      <c r="K51" s="67"/>
      <c r="L51" s="68"/>
      <c r="M51" s="69">
        <v>-198597.23000000016</v>
      </c>
    </row>
    <row r="54" spans="1:13" x14ac:dyDescent="0.2">
      <c r="B54" s="3" t="s">
        <v>218</v>
      </c>
      <c r="C54" s="3" t="s">
        <v>219</v>
      </c>
      <c r="D54" s="3" t="s">
        <v>220</v>
      </c>
      <c r="E54" s="3" t="s">
        <v>221</v>
      </c>
      <c r="F54" s="3" t="s">
        <v>222</v>
      </c>
      <c r="G54" s="3" t="s">
        <v>223</v>
      </c>
      <c r="H54" s="3" t="s">
        <v>224</v>
      </c>
      <c r="I54" s="3" t="s">
        <v>225</v>
      </c>
      <c r="J54" s="3" t="s">
        <v>226</v>
      </c>
      <c r="K54" s="3" t="s">
        <v>227</v>
      </c>
      <c r="L54" s="3" t="s">
        <v>228</v>
      </c>
      <c r="M54" s="3" t="s">
        <v>229</v>
      </c>
    </row>
    <row r="55" spans="1:13" x14ac:dyDescent="0.2">
      <c r="B55" s="16">
        <v>321348.92</v>
      </c>
      <c r="C55" s="16">
        <v>308682.23999999999</v>
      </c>
      <c r="D55" s="16">
        <v>287977.45</v>
      </c>
      <c r="E55" s="16">
        <v>277944.05</v>
      </c>
      <c r="F55" s="16">
        <v>269486.58999999997</v>
      </c>
      <c r="G55" s="16">
        <v>210092.61000000002</v>
      </c>
      <c r="H55" s="16">
        <v>174078.01000000004</v>
      </c>
      <c r="I55" s="16">
        <v>153951.18000000002</v>
      </c>
      <c r="J55" s="16">
        <v>152268.91000000003</v>
      </c>
      <c r="K55" s="16">
        <v>113315.54000000004</v>
      </c>
      <c r="L55" s="16">
        <v>163617.21</v>
      </c>
      <c r="M55" s="16">
        <v>117585.38999999996</v>
      </c>
    </row>
  </sheetData>
  <mergeCells count="1">
    <mergeCell ref="A1:R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97558519241921"/>
  </sheetPr>
  <dimension ref="A1:Q11"/>
  <sheetViews>
    <sheetView showGridLines="0" workbookViewId="0">
      <selection activeCell="A5" sqref="A5"/>
    </sheetView>
  </sheetViews>
  <sheetFormatPr defaultRowHeight="12.75" x14ac:dyDescent="0.2"/>
  <cols>
    <col min="1" max="1" width="25" style="30" customWidth="1"/>
    <col min="2" max="13" width="7.5703125" style="30" customWidth="1"/>
    <col min="14" max="14" width="2.7109375" style="30" customWidth="1"/>
    <col min="15" max="15" width="10.7109375" style="30" customWidth="1"/>
    <col min="16" max="16" width="2.28515625" style="30" customWidth="1"/>
    <col min="17" max="17" width="11.85546875" style="30" hidden="1" customWidth="1"/>
    <col min="18" max="256" width="9.140625" style="30"/>
    <col min="257" max="257" width="21.85546875" style="30" customWidth="1"/>
    <col min="258" max="269" width="9.7109375" style="30" customWidth="1"/>
    <col min="270" max="270" width="2.7109375" style="30" customWidth="1"/>
    <col min="271" max="271" width="10.7109375" style="30" customWidth="1"/>
    <col min="272" max="272" width="2.28515625" style="30" customWidth="1"/>
    <col min="273" max="273" width="11.85546875" style="30" bestFit="1" customWidth="1"/>
    <col min="274" max="512" width="9.140625" style="30"/>
    <col min="513" max="513" width="21.85546875" style="30" customWidth="1"/>
    <col min="514" max="525" width="9.7109375" style="30" customWidth="1"/>
    <col min="526" max="526" width="2.7109375" style="30" customWidth="1"/>
    <col min="527" max="527" width="10.7109375" style="30" customWidth="1"/>
    <col min="528" max="528" width="2.28515625" style="30" customWidth="1"/>
    <col min="529" max="529" width="11.85546875" style="30" bestFit="1" customWidth="1"/>
    <col min="530" max="768" width="9.140625" style="30"/>
    <col min="769" max="769" width="21.85546875" style="30" customWidth="1"/>
    <col min="770" max="781" width="9.7109375" style="30" customWidth="1"/>
    <col min="782" max="782" width="2.7109375" style="30" customWidth="1"/>
    <col min="783" max="783" width="10.7109375" style="30" customWidth="1"/>
    <col min="784" max="784" width="2.28515625" style="30" customWidth="1"/>
    <col min="785" max="785" width="11.85546875" style="30" bestFit="1" customWidth="1"/>
    <col min="786" max="1024" width="9.140625" style="30"/>
    <col min="1025" max="1025" width="21.85546875" style="30" customWidth="1"/>
    <col min="1026" max="1037" width="9.7109375" style="30" customWidth="1"/>
    <col min="1038" max="1038" width="2.7109375" style="30" customWidth="1"/>
    <col min="1039" max="1039" width="10.7109375" style="30" customWidth="1"/>
    <col min="1040" max="1040" width="2.28515625" style="30" customWidth="1"/>
    <col min="1041" max="1041" width="11.85546875" style="30" bestFit="1" customWidth="1"/>
    <col min="1042" max="1280" width="9.140625" style="30"/>
    <col min="1281" max="1281" width="21.85546875" style="30" customWidth="1"/>
    <col min="1282" max="1293" width="9.7109375" style="30" customWidth="1"/>
    <col min="1294" max="1294" width="2.7109375" style="30" customWidth="1"/>
    <col min="1295" max="1295" width="10.7109375" style="30" customWidth="1"/>
    <col min="1296" max="1296" width="2.28515625" style="30" customWidth="1"/>
    <col min="1297" max="1297" width="11.85546875" style="30" bestFit="1" customWidth="1"/>
    <col min="1298" max="1536" width="9.140625" style="30"/>
    <col min="1537" max="1537" width="21.85546875" style="30" customWidth="1"/>
    <col min="1538" max="1549" width="9.7109375" style="30" customWidth="1"/>
    <col min="1550" max="1550" width="2.7109375" style="30" customWidth="1"/>
    <col min="1551" max="1551" width="10.7109375" style="30" customWidth="1"/>
    <col min="1552" max="1552" width="2.28515625" style="30" customWidth="1"/>
    <col min="1553" max="1553" width="11.85546875" style="30" bestFit="1" customWidth="1"/>
    <col min="1554" max="1792" width="9.140625" style="30"/>
    <col min="1793" max="1793" width="21.85546875" style="30" customWidth="1"/>
    <col min="1794" max="1805" width="9.7109375" style="30" customWidth="1"/>
    <col min="1806" max="1806" width="2.7109375" style="30" customWidth="1"/>
    <col min="1807" max="1807" width="10.7109375" style="30" customWidth="1"/>
    <col min="1808" max="1808" width="2.28515625" style="30" customWidth="1"/>
    <col min="1809" max="1809" width="11.85546875" style="30" bestFit="1" customWidth="1"/>
    <col min="1810" max="2048" width="9.140625" style="30"/>
    <col min="2049" max="2049" width="21.85546875" style="30" customWidth="1"/>
    <col min="2050" max="2061" width="9.7109375" style="30" customWidth="1"/>
    <col min="2062" max="2062" width="2.7109375" style="30" customWidth="1"/>
    <col min="2063" max="2063" width="10.7109375" style="30" customWidth="1"/>
    <col min="2064" max="2064" width="2.28515625" style="30" customWidth="1"/>
    <col min="2065" max="2065" width="11.85546875" style="30" bestFit="1" customWidth="1"/>
    <col min="2066" max="2304" width="9.140625" style="30"/>
    <col min="2305" max="2305" width="21.85546875" style="30" customWidth="1"/>
    <col min="2306" max="2317" width="9.7109375" style="30" customWidth="1"/>
    <col min="2318" max="2318" width="2.7109375" style="30" customWidth="1"/>
    <col min="2319" max="2319" width="10.7109375" style="30" customWidth="1"/>
    <col min="2320" max="2320" width="2.28515625" style="30" customWidth="1"/>
    <col min="2321" max="2321" width="11.85546875" style="30" bestFit="1" customWidth="1"/>
    <col min="2322" max="2560" width="9.140625" style="30"/>
    <col min="2561" max="2561" width="21.85546875" style="30" customWidth="1"/>
    <col min="2562" max="2573" width="9.7109375" style="30" customWidth="1"/>
    <col min="2574" max="2574" width="2.7109375" style="30" customWidth="1"/>
    <col min="2575" max="2575" width="10.7109375" style="30" customWidth="1"/>
    <col min="2576" max="2576" width="2.28515625" style="30" customWidth="1"/>
    <col min="2577" max="2577" width="11.85546875" style="30" bestFit="1" customWidth="1"/>
    <col min="2578" max="2816" width="9.140625" style="30"/>
    <col min="2817" max="2817" width="21.85546875" style="30" customWidth="1"/>
    <col min="2818" max="2829" width="9.7109375" style="30" customWidth="1"/>
    <col min="2830" max="2830" width="2.7109375" style="30" customWidth="1"/>
    <col min="2831" max="2831" width="10.7109375" style="30" customWidth="1"/>
    <col min="2832" max="2832" width="2.28515625" style="30" customWidth="1"/>
    <col min="2833" max="2833" width="11.85546875" style="30" bestFit="1" customWidth="1"/>
    <col min="2834" max="3072" width="9.140625" style="30"/>
    <col min="3073" max="3073" width="21.85546875" style="30" customWidth="1"/>
    <col min="3074" max="3085" width="9.7109375" style="30" customWidth="1"/>
    <col min="3086" max="3086" width="2.7109375" style="30" customWidth="1"/>
    <col min="3087" max="3087" width="10.7109375" style="30" customWidth="1"/>
    <col min="3088" max="3088" width="2.28515625" style="30" customWidth="1"/>
    <col min="3089" max="3089" width="11.85546875" style="30" bestFit="1" customWidth="1"/>
    <col min="3090" max="3328" width="9.140625" style="30"/>
    <col min="3329" max="3329" width="21.85546875" style="30" customWidth="1"/>
    <col min="3330" max="3341" width="9.7109375" style="30" customWidth="1"/>
    <col min="3342" max="3342" width="2.7109375" style="30" customWidth="1"/>
    <col min="3343" max="3343" width="10.7109375" style="30" customWidth="1"/>
    <col min="3344" max="3344" width="2.28515625" style="30" customWidth="1"/>
    <col min="3345" max="3345" width="11.85546875" style="30" bestFit="1" customWidth="1"/>
    <col min="3346" max="3584" width="9.140625" style="30"/>
    <col min="3585" max="3585" width="21.85546875" style="30" customWidth="1"/>
    <col min="3586" max="3597" width="9.7109375" style="30" customWidth="1"/>
    <col min="3598" max="3598" width="2.7109375" style="30" customWidth="1"/>
    <col min="3599" max="3599" width="10.7109375" style="30" customWidth="1"/>
    <col min="3600" max="3600" width="2.28515625" style="30" customWidth="1"/>
    <col min="3601" max="3601" width="11.85546875" style="30" bestFit="1" customWidth="1"/>
    <col min="3602" max="3840" width="9.140625" style="30"/>
    <col min="3841" max="3841" width="21.85546875" style="30" customWidth="1"/>
    <col min="3842" max="3853" width="9.7109375" style="30" customWidth="1"/>
    <col min="3854" max="3854" width="2.7109375" style="30" customWidth="1"/>
    <col min="3855" max="3855" width="10.7109375" style="30" customWidth="1"/>
    <col min="3856" max="3856" width="2.28515625" style="30" customWidth="1"/>
    <col min="3857" max="3857" width="11.85546875" style="30" bestFit="1" customWidth="1"/>
    <col min="3858" max="4096" width="9.140625" style="30"/>
    <col min="4097" max="4097" width="21.85546875" style="30" customWidth="1"/>
    <col min="4098" max="4109" width="9.7109375" style="30" customWidth="1"/>
    <col min="4110" max="4110" width="2.7109375" style="30" customWidth="1"/>
    <col min="4111" max="4111" width="10.7109375" style="30" customWidth="1"/>
    <col min="4112" max="4112" width="2.28515625" style="30" customWidth="1"/>
    <col min="4113" max="4113" width="11.85546875" style="30" bestFit="1" customWidth="1"/>
    <col min="4114" max="4352" width="9.140625" style="30"/>
    <col min="4353" max="4353" width="21.85546875" style="30" customWidth="1"/>
    <col min="4354" max="4365" width="9.7109375" style="30" customWidth="1"/>
    <col min="4366" max="4366" width="2.7109375" style="30" customWidth="1"/>
    <col min="4367" max="4367" width="10.7109375" style="30" customWidth="1"/>
    <col min="4368" max="4368" width="2.28515625" style="30" customWidth="1"/>
    <col min="4369" max="4369" width="11.85546875" style="30" bestFit="1" customWidth="1"/>
    <col min="4370" max="4608" width="9.140625" style="30"/>
    <col min="4609" max="4609" width="21.85546875" style="30" customWidth="1"/>
    <col min="4610" max="4621" width="9.7109375" style="30" customWidth="1"/>
    <col min="4622" max="4622" width="2.7109375" style="30" customWidth="1"/>
    <col min="4623" max="4623" width="10.7109375" style="30" customWidth="1"/>
    <col min="4624" max="4624" width="2.28515625" style="30" customWidth="1"/>
    <col min="4625" max="4625" width="11.85546875" style="30" bestFit="1" customWidth="1"/>
    <col min="4626" max="4864" width="9.140625" style="30"/>
    <col min="4865" max="4865" width="21.85546875" style="30" customWidth="1"/>
    <col min="4866" max="4877" width="9.7109375" style="30" customWidth="1"/>
    <col min="4878" max="4878" width="2.7109375" style="30" customWidth="1"/>
    <col min="4879" max="4879" width="10.7109375" style="30" customWidth="1"/>
    <col min="4880" max="4880" width="2.28515625" style="30" customWidth="1"/>
    <col min="4881" max="4881" width="11.85546875" style="30" bestFit="1" customWidth="1"/>
    <col min="4882" max="5120" width="9.140625" style="30"/>
    <col min="5121" max="5121" width="21.85546875" style="30" customWidth="1"/>
    <col min="5122" max="5133" width="9.7109375" style="30" customWidth="1"/>
    <col min="5134" max="5134" width="2.7109375" style="30" customWidth="1"/>
    <col min="5135" max="5135" width="10.7109375" style="30" customWidth="1"/>
    <col min="5136" max="5136" width="2.28515625" style="30" customWidth="1"/>
    <col min="5137" max="5137" width="11.85546875" style="30" bestFit="1" customWidth="1"/>
    <col min="5138" max="5376" width="9.140625" style="30"/>
    <col min="5377" max="5377" width="21.85546875" style="30" customWidth="1"/>
    <col min="5378" max="5389" width="9.7109375" style="30" customWidth="1"/>
    <col min="5390" max="5390" width="2.7109375" style="30" customWidth="1"/>
    <col min="5391" max="5391" width="10.7109375" style="30" customWidth="1"/>
    <col min="5392" max="5392" width="2.28515625" style="30" customWidth="1"/>
    <col min="5393" max="5393" width="11.85546875" style="30" bestFit="1" customWidth="1"/>
    <col min="5394" max="5632" width="9.140625" style="30"/>
    <col min="5633" max="5633" width="21.85546875" style="30" customWidth="1"/>
    <col min="5634" max="5645" width="9.7109375" style="30" customWidth="1"/>
    <col min="5646" max="5646" width="2.7109375" style="30" customWidth="1"/>
    <col min="5647" max="5647" width="10.7109375" style="30" customWidth="1"/>
    <col min="5648" max="5648" width="2.28515625" style="30" customWidth="1"/>
    <col min="5649" max="5649" width="11.85546875" style="30" bestFit="1" customWidth="1"/>
    <col min="5650" max="5888" width="9.140625" style="30"/>
    <col min="5889" max="5889" width="21.85546875" style="30" customWidth="1"/>
    <col min="5890" max="5901" width="9.7109375" style="30" customWidth="1"/>
    <col min="5902" max="5902" width="2.7109375" style="30" customWidth="1"/>
    <col min="5903" max="5903" width="10.7109375" style="30" customWidth="1"/>
    <col min="5904" max="5904" width="2.28515625" style="30" customWidth="1"/>
    <col min="5905" max="5905" width="11.85546875" style="30" bestFit="1" customWidth="1"/>
    <col min="5906" max="6144" width="9.140625" style="30"/>
    <col min="6145" max="6145" width="21.85546875" style="30" customWidth="1"/>
    <col min="6146" max="6157" width="9.7109375" style="30" customWidth="1"/>
    <col min="6158" max="6158" width="2.7109375" style="30" customWidth="1"/>
    <col min="6159" max="6159" width="10.7109375" style="30" customWidth="1"/>
    <col min="6160" max="6160" width="2.28515625" style="30" customWidth="1"/>
    <col min="6161" max="6161" width="11.85546875" style="30" bestFit="1" customWidth="1"/>
    <col min="6162" max="6400" width="9.140625" style="30"/>
    <col min="6401" max="6401" width="21.85546875" style="30" customWidth="1"/>
    <col min="6402" max="6413" width="9.7109375" style="30" customWidth="1"/>
    <col min="6414" max="6414" width="2.7109375" style="30" customWidth="1"/>
    <col min="6415" max="6415" width="10.7109375" style="30" customWidth="1"/>
    <col min="6416" max="6416" width="2.28515625" style="30" customWidth="1"/>
    <col min="6417" max="6417" width="11.85546875" style="30" bestFit="1" customWidth="1"/>
    <col min="6418" max="6656" width="9.140625" style="30"/>
    <col min="6657" max="6657" width="21.85546875" style="30" customWidth="1"/>
    <col min="6658" max="6669" width="9.7109375" style="30" customWidth="1"/>
    <col min="6670" max="6670" width="2.7109375" style="30" customWidth="1"/>
    <col min="6671" max="6671" width="10.7109375" style="30" customWidth="1"/>
    <col min="6672" max="6672" width="2.28515625" style="30" customWidth="1"/>
    <col min="6673" max="6673" width="11.85546875" style="30" bestFit="1" customWidth="1"/>
    <col min="6674" max="6912" width="9.140625" style="30"/>
    <col min="6913" max="6913" width="21.85546875" style="30" customWidth="1"/>
    <col min="6914" max="6925" width="9.7109375" style="30" customWidth="1"/>
    <col min="6926" max="6926" width="2.7109375" style="30" customWidth="1"/>
    <col min="6927" max="6927" width="10.7109375" style="30" customWidth="1"/>
    <col min="6928" max="6928" width="2.28515625" style="30" customWidth="1"/>
    <col min="6929" max="6929" width="11.85546875" style="30" bestFit="1" customWidth="1"/>
    <col min="6930" max="7168" width="9.140625" style="30"/>
    <col min="7169" max="7169" width="21.85546875" style="30" customWidth="1"/>
    <col min="7170" max="7181" width="9.7109375" style="30" customWidth="1"/>
    <col min="7182" max="7182" width="2.7109375" style="30" customWidth="1"/>
    <col min="7183" max="7183" width="10.7109375" style="30" customWidth="1"/>
    <col min="7184" max="7184" width="2.28515625" style="30" customWidth="1"/>
    <col min="7185" max="7185" width="11.85546875" style="30" bestFit="1" customWidth="1"/>
    <col min="7186" max="7424" width="9.140625" style="30"/>
    <col min="7425" max="7425" width="21.85546875" style="30" customWidth="1"/>
    <col min="7426" max="7437" width="9.7109375" style="30" customWidth="1"/>
    <col min="7438" max="7438" width="2.7109375" style="30" customWidth="1"/>
    <col min="7439" max="7439" width="10.7109375" style="30" customWidth="1"/>
    <col min="7440" max="7440" width="2.28515625" style="30" customWidth="1"/>
    <col min="7441" max="7441" width="11.85546875" style="30" bestFit="1" customWidth="1"/>
    <col min="7442" max="7680" width="9.140625" style="30"/>
    <col min="7681" max="7681" width="21.85546875" style="30" customWidth="1"/>
    <col min="7682" max="7693" width="9.7109375" style="30" customWidth="1"/>
    <col min="7694" max="7694" width="2.7109375" style="30" customWidth="1"/>
    <col min="7695" max="7695" width="10.7109375" style="30" customWidth="1"/>
    <col min="7696" max="7696" width="2.28515625" style="30" customWidth="1"/>
    <col min="7697" max="7697" width="11.85546875" style="30" bestFit="1" customWidth="1"/>
    <col min="7698" max="7936" width="9.140625" style="30"/>
    <col min="7937" max="7937" width="21.85546875" style="30" customWidth="1"/>
    <col min="7938" max="7949" width="9.7109375" style="30" customWidth="1"/>
    <col min="7950" max="7950" width="2.7109375" style="30" customWidth="1"/>
    <col min="7951" max="7951" width="10.7109375" style="30" customWidth="1"/>
    <col min="7952" max="7952" width="2.28515625" style="30" customWidth="1"/>
    <col min="7953" max="7953" width="11.85546875" style="30" bestFit="1" customWidth="1"/>
    <col min="7954" max="8192" width="9.140625" style="30"/>
    <col min="8193" max="8193" width="21.85546875" style="30" customWidth="1"/>
    <col min="8194" max="8205" width="9.7109375" style="30" customWidth="1"/>
    <col min="8206" max="8206" width="2.7109375" style="30" customWidth="1"/>
    <col min="8207" max="8207" width="10.7109375" style="30" customWidth="1"/>
    <col min="8208" max="8208" width="2.28515625" style="30" customWidth="1"/>
    <col min="8209" max="8209" width="11.85546875" style="30" bestFit="1" customWidth="1"/>
    <col min="8210" max="8448" width="9.140625" style="30"/>
    <col min="8449" max="8449" width="21.85546875" style="30" customWidth="1"/>
    <col min="8450" max="8461" width="9.7109375" style="30" customWidth="1"/>
    <col min="8462" max="8462" width="2.7109375" style="30" customWidth="1"/>
    <col min="8463" max="8463" width="10.7109375" style="30" customWidth="1"/>
    <col min="8464" max="8464" width="2.28515625" style="30" customWidth="1"/>
    <col min="8465" max="8465" width="11.85546875" style="30" bestFit="1" customWidth="1"/>
    <col min="8466" max="8704" width="9.140625" style="30"/>
    <col min="8705" max="8705" width="21.85546875" style="30" customWidth="1"/>
    <col min="8706" max="8717" width="9.7109375" style="30" customWidth="1"/>
    <col min="8718" max="8718" width="2.7109375" style="30" customWidth="1"/>
    <col min="8719" max="8719" width="10.7109375" style="30" customWidth="1"/>
    <col min="8720" max="8720" width="2.28515625" style="30" customWidth="1"/>
    <col min="8721" max="8721" width="11.85546875" style="30" bestFit="1" customWidth="1"/>
    <col min="8722" max="8960" width="9.140625" style="30"/>
    <col min="8961" max="8961" width="21.85546875" style="30" customWidth="1"/>
    <col min="8962" max="8973" width="9.7109375" style="30" customWidth="1"/>
    <col min="8974" max="8974" width="2.7109375" style="30" customWidth="1"/>
    <col min="8975" max="8975" width="10.7109375" style="30" customWidth="1"/>
    <col min="8976" max="8976" width="2.28515625" style="30" customWidth="1"/>
    <col min="8977" max="8977" width="11.85546875" style="30" bestFit="1" customWidth="1"/>
    <col min="8978" max="9216" width="9.140625" style="30"/>
    <col min="9217" max="9217" width="21.85546875" style="30" customWidth="1"/>
    <col min="9218" max="9229" width="9.7109375" style="30" customWidth="1"/>
    <col min="9230" max="9230" width="2.7109375" style="30" customWidth="1"/>
    <col min="9231" max="9231" width="10.7109375" style="30" customWidth="1"/>
    <col min="9232" max="9232" width="2.28515625" style="30" customWidth="1"/>
    <col min="9233" max="9233" width="11.85546875" style="30" bestFit="1" customWidth="1"/>
    <col min="9234" max="9472" width="9.140625" style="30"/>
    <col min="9473" max="9473" width="21.85546875" style="30" customWidth="1"/>
    <col min="9474" max="9485" width="9.7109375" style="30" customWidth="1"/>
    <col min="9486" max="9486" width="2.7109375" style="30" customWidth="1"/>
    <col min="9487" max="9487" width="10.7109375" style="30" customWidth="1"/>
    <col min="9488" max="9488" width="2.28515625" style="30" customWidth="1"/>
    <col min="9489" max="9489" width="11.85546875" style="30" bestFit="1" customWidth="1"/>
    <col min="9490" max="9728" width="9.140625" style="30"/>
    <col min="9729" max="9729" width="21.85546875" style="30" customWidth="1"/>
    <col min="9730" max="9741" width="9.7109375" style="30" customWidth="1"/>
    <col min="9742" max="9742" width="2.7109375" style="30" customWidth="1"/>
    <col min="9743" max="9743" width="10.7109375" style="30" customWidth="1"/>
    <col min="9744" max="9744" width="2.28515625" style="30" customWidth="1"/>
    <col min="9745" max="9745" width="11.85546875" style="30" bestFit="1" customWidth="1"/>
    <col min="9746" max="9984" width="9.140625" style="30"/>
    <col min="9985" max="9985" width="21.85546875" style="30" customWidth="1"/>
    <col min="9986" max="9997" width="9.7109375" style="30" customWidth="1"/>
    <col min="9998" max="9998" width="2.7109375" style="30" customWidth="1"/>
    <col min="9999" max="9999" width="10.7109375" style="30" customWidth="1"/>
    <col min="10000" max="10000" width="2.28515625" style="30" customWidth="1"/>
    <col min="10001" max="10001" width="11.85546875" style="30" bestFit="1" customWidth="1"/>
    <col min="10002" max="10240" width="9.140625" style="30"/>
    <col min="10241" max="10241" width="21.85546875" style="30" customWidth="1"/>
    <col min="10242" max="10253" width="9.7109375" style="30" customWidth="1"/>
    <col min="10254" max="10254" width="2.7109375" style="30" customWidth="1"/>
    <col min="10255" max="10255" width="10.7109375" style="30" customWidth="1"/>
    <col min="10256" max="10256" width="2.28515625" style="30" customWidth="1"/>
    <col min="10257" max="10257" width="11.85546875" style="30" bestFit="1" customWidth="1"/>
    <col min="10258" max="10496" width="9.140625" style="30"/>
    <col min="10497" max="10497" width="21.85546875" style="30" customWidth="1"/>
    <col min="10498" max="10509" width="9.7109375" style="30" customWidth="1"/>
    <col min="10510" max="10510" width="2.7109375" style="30" customWidth="1"/>
    <col min="10511" max="10511" width="10.7109375" style="30" customWidth="1"/>
    <col min="10512" max="10512" width="2.28515625" style="30" customWidth="1"/>
    <col min="10513" max="10513" width="11.85546875" style="30" bestFit="1" customWidth="1"/>
    <col min="10514" max="10752" width="9.140625" style="30"/>
    <col min="10753" max="10753" width="21.85546875" style="30" customWidth="1"/>
    <col min="10754" max="10765" width="9.7109375" style="30" customWidth="1"/>
    <col min="10766" max="10766" width="2.7109375" style="30" customWidth="1"/>
    <col min="10767" max="10767" width="10.7109375" style="30" customWidth="1"/>
    <col min="10768" max="10768" width="2.28515625" style="30" customWidth="1"/>
    <col min="10769" max="10769" width="11.85546875" style="30" bestFit="1" customWidth="1"/>
    <col min="10770" max="11008" width="9.140625" style="30"/>
    <col min="11009" max="11009" width="21.85546875" style="30" customWidth="1"/>
    <col min="11010" max="11021" width="9.7109375" style="30" customWidth="1"/>
    <col min="11022" max="11022" width="2.7109375" style="30" customWidth="1"/>
    <col min="11023" max="11023" width="10.7109375" style="30" customWidth="1"/>
    <col min="11024" max="11024" width="2.28515625" style="30" customWidth="1"/>
    <col min="11025" max="11025" width="11.85546875" style="30" bestFit="1" customWidth="1"/>
    <col min="11026" max="11264" width="9.140625" style="30"/>
    <col min="11265" max="11265" width="21.85546875" style="30" customWidth="1"/>
    <col min="11266" max="11277" width="9.7109375" style="30" customWidth="1"/>
    <col min="11278" max="11278" width="2.7109375" style="30" customWidth="1"/>
    <col min="11279" max="11279" width="10.7109375" style="30" customWidth="1"/>
    <col min="11280" max="11280" width="2.28515625" style="30" customWidth="1"/>
    <col min="11281" max="11281" width="11.85546875" style="30" bestFit="1" customWidth="1"/>
    <col min="11282" max="11520" width="9.140625" style="30"/>
    <col min="11521" max="11521" width="21.85546875" style="30" customWidth="1"/>
    <col min="11522" max="11533" width="9.7109375" style="30" customWidth="1"/>
    <col min="11534" max="11534" width="2.7109375" style="30" customWidth="1"/>
    <col min="11535" max="11535" width="10.7109375" style="30" customWidth="1"/>
    <col min="11536" max="11536" width="2.28515625" style="30" customWidth="1"/>
    <col min="11537" max="11537" width="11.85546875" style="30" bestFit="1" customWidth="1"/>
    <col min="11538" max="11776" width="9.140625" style="30"/>
    <col min="11777" max="11777" width="21.85546875" style="30" customWidth="1"/>
    <col min="11778" max="11789" width="9.7109375" style="30" customWidth="1"/>
    <col min="11790" max="11790" width="2.7109375" style="30" customWidth="1"/>
    <col min="11791" max="11791" width="10.7109375" style="30" customWidth="1"/>
    <col min="11792" max="11792" width="2.28515625" style="30" customWidth="1"/>
    <col min="11793" max="11793" width="11.85546875" style="30" bestFit="1" customWidth="1"/>
    <col min="11794" max="12032" width="9.140625" style="30"/>
    <col min="12033" max="12033" width="21.85546875" style="30" customWidth="1"/>
    <col min="12034" max="12045" width="9.7109375" style="30" customWidth="1"/>
    <col min="12046" max="12046" width="2.7109375" style="30" customWidth="1"/>
    <col min="12047" max="12047" width="10.7109375" style="30" customWidth="1"/>
    <col min="12048" max="12048" width="2.28515625" style="30" customWidth="1"/>
    <col min="12049" max="12049" width="11.85546875" style="30" bestFit="1" customWidth="1"/>
    <col min="12050" max="12288" width="9.140625" style="30"/>
    <col min="12289" max="12289" width="21.85546875" style="30" customWidth="1"/>
    <col min="12290" max="12301" width="9.7109375" style="30" customWidth="1"/>
    <col min="12302" max="12302" width="2.7109375" style="30" customWidth="1"/>
    <col min="12303" max="12303" width="10.7109375" style="30" customWidth="1"/>
    <col min="12304" max="12304" width="2.28515625" style="30" customWidth="1"/>
    <col min="12305" max="12305" width="11.85546875" style="30" bestFit="1" customWidth="1"/>
    <col min="12306" max="12544" width="9.140625" style="30"/>
    <col min="12545" max="12545" width="21.85546875" style="30" customWidth="1"/>
    <col min="12546" max="12557" width="9.7109375" style="30" customWidth="1"/>
    <col min="12558" max="12558" width="2.7109375" style="30" customWidth="1"/>
    <col min="12559" max="12559" width="10.7109375" style="30" customWidth="1"/>
    <col min="12560" max="12560" width="2.28515625" style="30" customWidth="1"/>
    <col min="12561" max="12561" width="11.85546875" style="30" bestFit="1" customWidth="1"/>
    <col min="12562" max="12800" width="9.140625" style="30"/>
    <col min="12801" max="12801" width="21.85546875" style="30" customWidth="1"/>
    <col min="12802" max="12813" width="9.7109375" style="30" customWidth="1"/>
    <col min="12814" max="12814" width="2.7109375" style="30" customWidth="1"/>
    <col min="12815" max="12815" width="10.7109375" style="30" customWidth="1"/>
    <col min="12816" max="12816" width="2.28515625" style="30" customWidth="1"/>
    <col min="12817" max="12817" width="11.85546875" style="30" bestFit="1" customWidth="1"/>
    <col min="12818" max="13056" width="9.140625" style="30"/>
    <col min="13057" max="13057" width="21.85546875" style="30" customWidth="1"/>
    <col min="13058" max="13069" width="9.7109375" style="30" customWidth="1"/>
    <col min="13070" max="13070" width="2.7109375" style="30" customWidth="1"/>
    <col min="13071" max="13071" width="10.7109375" style="30" customWidth="1"/>
    <col min="13072" max="13072" width="2.28515625" style="30" customWidth="1"/>
    <col min="13073" max="13073" width="11.85546875" style="30" bestFit="1" customWidth="1"/>
    <col min="13074" max="13312" width="9.140625" style="30"/>
    <col min="13313" max="13313" width="21.85546875" style="30" customWidth="1"/>
    <col min="13314" max="13325" width="9.7109375" style="30" customWidth="1"/>
    <col min="13326" max="13326" width="2.7109375" style="30" customWidth="1"/>
    <col min="13327" max="13327" width="10.7109375" style="30" customWidth="1"/>
    <col min="13328" max="13328" width="2.28515625" style="30" customWidth="1"/>
    <col min="13329" max="13329" width="11.85546875" style="30" bestFit="1" customWidth="1"/>
    <col min="13330" max="13568" width="9.140625" style="30"/>
    <col min="13569" max="13569" width="21.85546875" style="30" customWidth="1"/>
    <col min="13570" max="13581" width="9.7109375" style="30" customWidth="1"/>
    <col min="13582" max="13582" width="2.7109375" style="30" customWidth="1"/>
    <col min="13583" max="13583" width="10.7109375" style="30" customWidth="1"/>
    <col min="13584" max="13584" width="2.28515625" style="30" customWidth="1"/>
    <col min="13585" max="13585" width="11.85546875" style="30" bestFit="1" customWidth="1"/>
    <col min="13586" max="13824" width="9.140625" style="30"/>
    <col min="13825" max="13825" width="21.85546875" style="30" customWidth="1"/>
    <col min="13826" max="13837" width="9.7109375" style="30" customWidth="1"/>
    <col min="13838" max="13838" width="2.7109375" style="30" customWidth="1"/>
    <col min="13839" max="13839" width="10.7109375" style="30" customWidth="1"/>
    <col min="13840" max="13840" width="2.28515625" style="30" customWidth="1"/>
    <col min="13841" max="13841" width="11.85546875" style="30" bestFit="1" customWidth="1"/>
    <col min="13842" max="14080" width="9.140625" style="30"/>
    <col min="14081" max="14081" width="21.85546875" style="30" customWidth="1"/>
    <col min="14082" max="14093" width="9.7109375" style="30" customWidth="1"/>
    <col min="14094" max="14094" width="2.7109375" style="30" customWidth="1"/>
    <col min="14095" max="14095" width="10.7109375" style="30" customWidth="1"/>
    <col min="14096" max="14096" width="2.28515625" style="30" customWidth="1"/>
    <col min="14097" max="14097" width="11.85546875" style="30" bestFit="1" customWidth="1"/>
    <col min="14098" max="14336" width="9.140625" style="30"/>
    <col min="14337" max="14337" width="21.85546875" style="30" customWidth="1"/>
    <col min="14338" max="14349" width="9.7109375" style="30" customWidth="1"/>
    <col min="14350" max="14350" width="2.7109375" style="30" customWidth="1"/>
    <col min="14351" max="14351" width="10.7109375" style="30" customWidth="1"/>
    <col min="14352" max="14352" width="2.28515625" style="30" customWidth="1"/>
    <col min="14353" max="14353" width="11.85546875" style="30" bestFit="1" customWidth="1"/>
    <col min="14354" max="14592" width="9.140625" style="30"/>
    <col min="14593" max="14593" width="21.85546875" style="30" customWidth="1"/>
    <col min="14594" max="14605" width="9.7109375" style="30" customWidth="1"/>
    <col min="14606" max="14606" width="2.7109375" style="30" customWidth="1"/>
    <col min="14607" max="14607" width="10.7109375" style="30" customWidth="1"/>
    <col min="14608" max="14608" width="2.28515625" style="30" customWidth="1"/>
    <col min="14609" max="14609" width="11.85546875" style="30" bestFit="1" customWidth="1"/>
    <col min="14610" max="14848" width="9.140625" style="30"/>
    <col min="14849" max="14849" width="21.85546875" style="30" customWidth="1"/>
    <col min="14850" max="14861" width="9.7109375" style="30" customWidth="1"/>
    <col min="14862" max="14862" width="2.7109375" style="30" customWidth="1"/>
    <col min="14863" max="14863" width="10.7109375" style="30" customWidth="1"/>
    <col min="14864" max="14864" width="2.28515625" style="30" customWidth="1"/>
    <col min="14865" max="14865" width="11.85546875" style="30" bestFit="1" customWidth="1"/>
    <col min="14866" max="15104" width="9.140625" style="30"/>
    <col min="15105" max="15105" width="21.85546875" style="30" customWidth="1"/>
    <col min="15106" max="15117" width="9.7109375" style="30" customWidth="1"/>
    <col min="15118" max="15118" width="2.7109375" style="30" customWidth="1"/>
    <col min="15119" max="15119" width="10.7109375" style="30" customWidth="1"/>
    <col min="15120" max="15120" width="2.28515625" style="30" customWidth="1"/>
    <col min="15121" max="15121" width="11.85546875" style="30" bestFit="1" customWidth="1"/>
    <col min="15122" max="15360" width="9.140625" style="30"/>
    <col min="15361" max="15361" width="21.85546875" style="30" customWidth="1"/>
    <col min="15362" max="15373" width="9.7109375" style="30" customWidth="1"/>
    <col min="15374" max="15374" width="2.7109375" style="30" customWidth="1"/>
    <col min="15375" max="15375" width="10.7109375" style="30" customWidth="1"/>
    <col min="15376" max="15376" width="2.28515625" style="30" customWidth="1"/>
    <col min="15377" max="15377" width="11.85546875" style="30" bestFit="1" customWidth="1"/>
    <col min="15378" max="15616" width="9.140625" style="30"/>
    <col min="15617" max="15617" width="21.85546875" style="30" customWidth="1"/>
    <col min="15618" max="15629" width="9.7109375" style="30" customWidth="1"/>
    <col min="15630" max="15630" width="2.7109375" style="30" customWidth="1"/>
    <col min="15631" max="15631" width="10.7109375" style="30" customWidth="1"/>
    <col min="15632" max="15632" width="2.28515625" style="30" customWidth="1"/>
    <col min="15633" max="15633" width="11.85546875" style="30" bestFit="1" customWidth="1"/>
    <col min="15634" max="15872" width="9.140625" style="30"/>
    <col min="15873" max="15873" width="21.85546875" style="30" customWidth="1"/>
    <col min="15874" max="15885" width="9.7109375" style="30" customWidth="1"/>
    <col min="15886" max="15886" width="2.7109375" style="30" customWidth="1"/>
    <col min="15887" max="15887" width="10.7109375" style="30" customWidth="1"/>
    <col min="15888" max="15888" width="2.28515625" style="30" customWidth="1"/>
    <col min="15889" max="15889" width="11.85546875" style="30" bestFit="1" customWidth="1"/>
    <col min="15890" max="16128" width="9.140625" style="30"/>
    <col min="16129" max="16129" width="21.85546875" style="30" customWidth="1"/>
    <col min="16130" max="16141" width="9.7109375" style="30" customWidth="1"/>
    <col min="16142" max="16142" width="2.7109375" style="30" customWidth="1"/>
    <col min="16143" max="16143" width="10.7109375" style="30" customWidth="1"/>
    <col min="16144" max="16144" width="2.28515625" style="30" customWidth="1"/>
    <col min="16145" max="16145" width="11.85546875" style="30" bestFit="1" customWidth="1"/>
    <col min="16146" max="16384" width="9.140625" style="30"/>
  </cols>
  <sheetData>
    <row r="1" spans="1:17" s="12" customFormat="1" ht="23.25" x14ac:dyDescent="0.35">
      <c r="A1" s="134" t="s">
        <v>355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</row>
    <row r="2" spans="1:17" s="12" customFormat="1" ht="23.25" x14ac:dyDescent="0.35">
      <c r="A2" s="135" t="str">
        <f>A5</f>
        <v>Obreiros e Apoiadores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</row>
    <row r="5" spans="1:17" s="45" customFormat="1" x14ac:dyDescent="0.25">
      <c r="A5" s="42" t="s">
        <v>247</v>
      </c>
      <c r="B5" s="43" t="s">
        <v>218</v>
      </c>
      <c r="C5" s="43" t="s">
        <v>219</v>
      </c>
      <c r="D5" s="43" t="s">
        <v>220</v>
      </c>
      <c r="E5" s="43" t="s">
        <v>221</v>
      </c>
      <c r="F5" s="43" t="s">
        <v>222</v>
      </c>
      <c r="G5" s="43" t="s">
        <v>223</v>
      </c>
      <c r="H5" s="43" t="s">
        <v>224</v>
      </c>
      <c r="I5" s="43" t="s">
        <v>225</v>
      </c>
      <c r="J5" s="43" t="s">
        <v>226</v>
      </c>
      <c r="K5" s="43" t="s">
        <v>227</v>
      </c>
      <c r="L5" s="43" t="s">
        <v>228</v>
      </c>
      <c r="M5" s="43" t="s">
        <v>229</v>
      </c>
      <c r="N5" s="44"/>
      <c r="O5" s="43" t="s">
        <v>294</v>
      </c>
      <c r="Q5" s="43" t="s">
        <v>231</v>
      </c>
    </row>
    <row r="6" spans="1:17" x14ac:dyDescent="0.2">
      <c r="B6" s="47">
        <v>2</v>
      </c>
      <c r="C6" s="47">
        <v>3</v>
      </c>
      <c r="D6" s="47">
        <v>4</v>
      </c>
      <c r="E6" s="47">
        <v>5</v>
      </c>
      <c r="F6" s="47">
        <v>6</v>
      </c>
      <c r="G6" s="47">
        <v>7</v>
      </c>
      <c r="H6" s="47">
        <v>8</v>
      </c>
      <c r="I6" s="47">
        <v>9</v>
      </c>
      <c r="J6" s="47">
        <v>10</v>
      </c>
      <c r="K6" s="47">
        <v>11</v>
      </c>
      <c r="L6" s="47">
        <v>12</v>
      </c>
      <c r="M6" s="47">
        <v>13</v>
      </c>
      <c r="Q6" s="4"/>
    </row>
    <row r="7" spans="1:17" x14ac:dyDescent="0.2">
      <c r="A7" s="48" t="s">
        <v>321</v>
      </c>
      <c r="B7" s="10">
        <f>VLOOKUP($A$5,FF_2016!$A:$M,B6,0)</f>
        <v>10300.5</v>
      </c>
      <c r="C7" s="10">
        <f>VLOOKUP($A$5,FF_2016!$A:$M,C6,0)</f>
        <v>7943.01</v>
      </c>
      <c r="D7" s="10">
        <f>VLOOKUP($A$5,FF_2016!$A:$M,D6,0)</f>
        <v>8162.84</v>
      </c>
      <c r="E7" s="10">
        <f>VLOOKUP($A$5,FF_2016!$A:$M,E6,0)</f>
        <v>10559.1</v>
      </c>
      <c r="F7" s="10">
        <f>VLOOKUP($A$5,FF_2016!$A:$M,F6,0)</f>
        <v>10088.619999999999</v>
      </c>
      <c r="G7" s="10">
        <f>VLOOKUP($A$5,FF_2016!$A:$M,G6,0)</f>
        <v>12541.96</v>
      </c>
      <c r="H7" s="10">
        <f>VLOOKUP($A$5,FF_2016!$A:$M,H6,0)</f>
        <v>8374.6899999999987</v>
      </c>
      <c r="I7" s="10">
        <f>VLOOKUP($A$5,FF_2016!$A:$M,I6,0)</f>
        <v>13504.24</v>
      </c>
      <c r="J7" s="10">
        <f>VLOOKUP($A$5,FF_2016!$A:$M,J6,0)</f>
        <v>8174.98</v>
      </c>
      <c r="K7" s="10">
        <f>VLOOKUP($A$5,FF_2016!$A:$M,K6,0)</f>
        <v>10242.120000000003</v>
      </c>
      <c r="L7" s="10">
        <f>VLOOKUP($A$5,FF_2016!$A:$M,L6,0)</f>
        <v>7139.52</v>
      </c>
      <c r="M7" s="10">
        <f>VLOOKUP($A$5,FF_2016!$A:$M,M6,0)</f>
        <v>14830.09</v>
      </c>
      <c r="N7" s="49">
        <v>2016</v>
      </c>
      <c r="O7" s="10">
        <f>SUM(B7:M7)</f>
        <v>121861.67</v>
      </c>
      <c r="P7" s="49" t="s">
        <v>320</v>
      </c>
      <c r="Q7" s="10">
        <f>O7/12</f>
        <v>10155.139166666666</v>
      </c>
    </row>
    <row r="8" spans="1:17" x14ac:dyDescent="0.2">
      <c r="A8" s="48" t="s">
        <v>327</v>
      </c>
      <c r="B8" s="10">
        <f>VLOOKUP($A$5,FF_2017!$A$3:$O$38,B$6,0)</f>
        <v>8139.52</v>
      </c>
      <c r="C8" s="10">
        <f>VLOOKUP($A$5,FF_2017!$A$3:$O$38,C$6,0)</f>
        <v>7099.3500000000022</v>
      </c>
      <c r="D8" s="10">
        <f>VLOOKUP($A$5,FF_2017!$A$3:$O$38,D$6,0)</f>
        <v>6257.7099999999991</v>
      </c>
      <c r="E8" s="10">
        <f>VLOOKUP($A$5,FF_2017!$A$3:$O$38,E$6,0)</f>
        <v>9768.2200000000012</v>
      </c>
      <c r="F8" s="10">
        <f>VLOOKUP($A$5,FF_2017!$A$3:$O$38,F$6,0)</f>
        <v>11527.519999999997</v>
      </c>
      <c r="G8" s="10">
        <f>VLOOKUP($A$5,FF_2017!$A$3:$O$38,G$6,0)</f>
        <v>9695.07</v>
      </c>
      <c r="H8" s="10">
        <f>VLOOKUP($A$5,FF_2017!$A$3:$O$38,H$6,0)</f>
        <v>9554.84</v>
      </c>
      <c r="I8" s="10">
        <f>VLOOKUP($A$5,FF_2017!$A$3:$O$38,I$6,0)</f>
        <v>25820.119999999995</v>
      </c>
      <c r="J8" s="10">
        <f>VLOOKUP($A$5,FF_2017!$A$3:$O$38,J$6,0)</f>
        <v>10492.18</v>
      </c>
      <c r="K8" s="10">
        <f>VLOOKUP($A$5,FF_2017!$A$3:$O$38,K$6,0)</f>
        <v>4588.24</v>
      </c>
      <c r="L8" s="10">
        <f>VLOOKUP($A$5,FF_2017!$A$3:$O$38,L$6,0)</f>
        <v>10788.24</v>
      </c>
      <c r="M8" s="10">
        <f>VLOOKUP($A$5,FF_2017!$A$3:$O$38,M$6,0)</f>
        <v>6611.1100000000006</v>
      </c>
      <c r="N8" s="49">
        <v>2017</v>
      </c>
      <c r="O8" s="10">
        <f>SUM(B8:M8)</f>
        <v>120342.12000000001</v>
      </c>
      <c r="P8" s="49"/>
      <c r="Q8" s="10"/>
    </row>
    <row r="9" spans="1:17" x14ac:dyDescent="0.2">
      <c r="A9" s="48" t="s">
        <v>354</v>
      </c>
      <c r="B9" s="10" t="e">
        <f>VLOOKUP($A$5,#REF!,B$6,0)</f>
        <v>#REF!</v>
      </c>
      <c r="C9" s="10" t="e">
        <f>VLOOKUP($A$5,#REF!,C$6,0)</f>
        <v>#REF!</v>
      </c>
      <c r="D9" s="10" t="e">
        <f>VLOOKUP($A$5,#REF!,D$6,0)</f>
        <v>#REF!</v>
      </c>
      <c r="E9" s="10" t="e">
        <f>VLOOKUP($A$5,#REF!,E$6,0)</f>
        <v>#REF!</v>
      </c>
      <c r="F9" s="10" t="e">
        <f>VLOOKUP($A$5,#REF!,F$6,0)</f>
        <v>#REF!</v>
      </c>
      <c r="G9" s="10" t="e">
        <f>VLOOKUP($A$5,#REF!,G$6,0)</f>
        <v>#REF!</v>
      </c>
      <c r="H9" s="10" t="e">
        <f>VLOOKUP($A$5,#REF!,H$6,0)</f>
        <v>#REF!</v>
      </c>
      <c r="I9" s="10" t="e">
        <f>VLOOKUP($A$5,#REF!,I$6,0)</f>
        <v>#REF!</v>
      </c>
      <c r="J9" s="10" t="e">
        <f>VLOOKUP($A$5,#REF!,J$6,0)</f>
        <v>#REF!</v>
      </c>
      <c r="K9" s="10" t="e">
        <f>VLOOKUP($A$5,#REF!,K$6,0)</f>
        <v>#REF!</v>
      </c>
      <c r="L9" s="10" t="e">
        <f>VLOOKUP($A$5,#REF!,L$6,0)</f>
        <v>#REF!</v>
      </c>
      <c r="M9" s="10" t="e">
        <f>VLOOKUP($A$5,#REF!,M$6,0)</f>
        <v>#REF!</v>
      </c>
      <c r="N9" s="49">
        <v>2018</v>
      </c>
      <c r="O9" s="10" t="e">
        <f>SUM(B9:M9)</f>
        <v>#REF!</v>
      </c>
      <c r="P9" s="49" t="s">
        <v>320</v>
      </c>
      <c r="Q9" s="10" t="e">
        <f>O9/12</f>
        <v>#REF!</v>
      </c>
    </row>
    <row r="10" spans="1:17" x14ac:dyDescent="0.2">
      <c r="A10" s="8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49"/>
      <c r="O10" s="50"/>
      <c r="P10" s="49"/>
      <c r="Q10" s="50"/>
    </row>
    <row r="11" spans="1:17" s="31" customFormat="1" x14ac:dyDescent="0.2">
      <c r="B11" s="31">
        <v>2</v>
      </c>
      <c r="C11" s="31">
        <v>3</v>
      </c>
      <c r="D11" s="31">
        <v>4</v>
      </c>
      <c r="E11" s="31">
        <v>5</v>
      </c>
      <c r="F11" s="31">
        <v>6</v>
      </c>
      <c r="G11" s="31">
        <v>7</v>
      </c>
      <c r="H11" s="31">
        <v>8</v>
      </c>
      <c r="I11" s="31">
        <v>9</v>
      </c>
      <c r="J11" s="31">
        <v>10</v>
      </c>
      <c r="K11" s="31">
        <v>11</v>
      </c>
      <c r="L11" s="31">
        <v>12</v>
      </c>
      <c r="M11" s="31">
        <v>13</v>
      </c>
      <c r="O11" s="31">
        <v>15</v>
      </c>
      <c r="Q11" s="31">
        <f>[3]MOV.FINANCEIRO!AJ4</f>
        <v>12</v>
      </c>
    </row>
  </sheetData>
  <mergeCells count="2">
    <mergeCell ref="A1:Q1"/>
    <mergeCell ref="A2:Q2"/>
  </mergeCells>
  <dataValidations count="1">
    <dataValidation type="list" allowBlank="1" showInputMessage="1" showErrorMessage="1" sqref="A5" xr:uid="{00000000-0002-0000-0900-000000000000}">
      <formula1>#REF!</formula1>
    </dataValidation>
  </dataValidations>
  <pageMargins left="0.51181102362204722" right="0.51181102362204722" top="1.3779527559055118" bottom="0.78740157480314965" header="0.78740157480314965" footer="0.31496062992125984"/>
  <pageSetup paperSize="9" orientation="landscape" horizontalDpi="1200" verticalDpi="1200" r:id="rId1"/>
  <headerFooter>
    <oddHeader>&amp;C&amp;"-,Negrito"&amp;28ASSOCIAÇÃO DAS IGREJAS DA OBRA REGIONAL - REGIÃO 06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39997558519241921"/>
  </sheetPr>
  <dimension ref="A1:M36"/>
  <sheetViews>
    <sheetView showGridLines="0" topLeftCell="A6" workbookViewId="0">
      <selection activeCell="Q22" sqref="Q22"/>
    </sheetView>
  </sheetViews>
  <sheetFormatPr defaultRowHeight="12.75" x14ac:dyDescent="0.2"/>
  <cols>
    <col min="1" max="1" width="37.7109375" style="12" customWidth="1"/>
    <col min="2" max="2" width="9.28515625" style="12" customWidth="1"/>
    <col min="3" max="4" width="8.85546875" style="12" customWidth="1"/>
    <col min="5" max="5" width="2.140625" style="12" customWidth="1"/>
    <col min="6" max="6" width="8.42578125" style="12" customWidth="1"/>
    <col min="7" max="7" width="8.42578125" style="58" bestFit="1" customWidth="1"/>
    <col min="8" max="241" width="9.140625" style="12"/>
    <col min="242" max="242" width="27.42578125" style="12" customWidth="1"/>
    <col min="243" max="251" width="9" style="12" customWidth="1"/>
    <col min="252" max="254" width="0" style="12" hidden="1" customWidth="1"/>
    <col min="255" max="255" width="2.140625" style="12" customWidth="1"/>
    <col min="256" max="256" width="11.5703125" style="12" customWidth="1"/>
    <col min="257" max="257" width="2.140625" style="12" customWidth="1"/>
    <col min="258" max="258" width="11.85546875" style="12" customWidth="1"/>
    <col min="259" max="259" width="5.7109375" style="12" bestFit="1" customWidth="1"/>
    <col min="260" max="497" width="9.140625" style="12"/>
    <col min="498" max="498" width="27.42578125" style="12" customWidth="1"/>
    <col min="499" max="507" width="9" style="12" customWidth="1"/>
    <col min="508" max="510" width="0" style="12" hidden="1" customWidth="1"/>
    <col min="511" max="511" width="2.140625" style="12" customWidth="1"/>
    <col min="512" max="512" width="11.5703125" style="12" customWidth="1"/>
    <col min="513" max="513" width="2.140625" style="12" customWidth="1"/>
    <col min="514" max="514" width="11.85546875" style="12" customWidth="1"/>
    <col min="515" max="515" width="5.7109375" style="12" bestFit="1" customWidth="1"/>
    <col min="516" max="753" width="9.140625" style="12"/>
    <col min="754" max="754" width="27.42578125" style="12" customWidth="1"/>
    <col min="755" max="763" width="9" style="12" customWidth="1"/>
    <col min="764" max="766" width="0" style="12" hidden="1" customWidth="1"/>
    <col min="767" max="767" width="2.140625" style="12" customWidth="1"/>
    <col min="768" max="768" width="11.5703125" style="12" customWidth="1"/>
    <col min="769" max="769" width="2.140625" style="12" customWidth="1"/>
    <col min="770" max="770" width="11.85546875" style="12" customWidth="1"/>
    <col min="771" max="771" width="5.7109375" style="12" bestFit="1" customWidth="1"/>
    <col min="772" max="1009" width="9.140625" style="12"/>
    <col min="1010" max="1010" width="27.42578125" style="12" customWidth="1"/>
    <col min="1011" max="1019" width="9" style="12" customWidth="1"/>
    <col min="1020" max="1022" width="0" style="12" hidden="1" customWidth="1"/>
    <col min="1023" max="1023" width="2.140625" style="12" customWidth="1"/>
    <col min="1024" max="1024" width="11.5703125" style="12" customWidth="1"/>
    <col min="1025" max="1025" width="2.140625" style="12" customWidth="1"/>
    <col min="1026" max="1026" width="11.85546875" style="12" customWidth="1"/>
    <col min="1027" max="1027" width="5.7109375" style="12" bestFit="1" customWidth="1"/>
    <col min="1028" max="1265" width="9.140625" style="12"/>
    <col min="1266" max="1266" width="27.42578125" style="12" customWidth="1"/>
    <col min="1267" max="1275" width="9" style="12" customWidth="1"/>
    <col min="1276" max="1278" width="0" style="12" hidden="1" customWidth="1"/>
    <col min="1279" max="1279" width="2.140625" style="12" customWidth="1"/>
    <col min="1280" max="1280" width="11.5703125" style="12" customWidth="1"/>
    <col min="1281" max="1281" width="2.140625" style="12" customWidth="1"/>
    <col min="1282" max="1282" width="11.85546875" style="12" customWidth="1"/>
    <col min="1283" max="1283" width="5.7109375" style="12" bestFit="1" customWidth="1"/>
    <col min="1284" max="1521" width="9.140625" style="12"/>
    <col min="1522" max="1522" width="27.42578125" style="12" customWidth="1"/>
    <col min="1523" max="1531" width="9" style="12" customWidth="1"/>
    <col min="1532" max="1534" width="0" style="12" hidden="1" customWidth="1"/>
    <col min="1535" max="1535" width="2.140625" style="12" customWidth="1"/>
    <col min="1536" max="1536" width="11.5703125" style="12" customWidth="1"/>
    <col min="1537" max="1537" width="2.140625" style="12" customWidth="1"/>
    <col min="1538" max="1538" width="11.85546875" style="12" customWidth="1"/>
    <col min="1539" max="1539" width="5.7109375" style="12" bestFit="1" customWidth="1"/>
    <col min="1540" max="1777" width="9.140625" style="12"/>
    <col min="1778" max="1778" width="27.42578125" style="12" customWidth="1"/>
    <col min="1779" max="1787" width="9" style="12" customWidth="1"/>
    <col min="1788" max="1790" width="0" style="12" hidden="1" customWidth="1"/>
    <col min="1791" max="1791" width="2.140625" style="12" customWidth="1"/>
    <col min="1792" max="1792" width="11.5703125" style="12" customWidth="1"/>
    <col min="1793" max="1793" width="2.140625" style="12" customWidth="1"/>
    <col min="1794" max="1794" width="11.85546875" style="12" customWidth="1"/>
    <col min="1795" max="1795" width="5.7109375" style="12" bestFit="1" customWidth="1"/>
    <col min="1796" max="2033" width="9.140625" style="12"/>
    <col min="2034" max="2034" width="27.42578125" style="12" customWidth="1"/>
    <col min="2035" max="2043" width="9" style="12" customWidth="1"/>
    <col min="2044" max="2046" width="0" style="12" hidden="1" customWidth="1"/>
    <col min="2047" max="2047" width="2.140625" style="12" customWidth="1"/>
    <col min="2048" max="2048" width="11.5703125" style="12" customWidth="1"/>
    <col min="2049" max="2049" width="2.140625" style="12" customWidth="1"/>
    <col min="2050" max="2050" width="11.85546875" style="12" customWidth="1"/>
    <col min="2051" max="2051" width="5.7109375" style="12" bestFit="1" customWidth="1"/>
    <col min="2052" max="2289" width="9.140625" style="12"/>
    <col min="2290" max="2290" width="27.42578125" style="12" customWidth="1"/>
    <col min="2291" max="2299" width="9" style="12" customWidth="1"/>
    <col min="2300" max="2302" width="0" style="12" hidden="1" customWidth="1"/>
    <col min="2303" max="2303" width="2.140625" style="12" customWidth="1"/>
    <col min="2304" max="2304" width="11.5703125" style="12" customWidth="1"/>
    <col min="2305" max="2305" width="2.140625" style="12" customWidth="1"/>
    <col min="2306" max="2306" width="11.85546875" style="12" customWidth="1"/>
    <col min="2307" max="2307" width="5.7109375" style="12" bestFit="1" customWidth="1"/>
    <col min="2308" max="2545" width="9.140625" style="12"/>
    <col min="2546" max="2546" width="27.42578125" style="12" customWidth="1"/>
    <col min="2547" max="2555" width="9" style="12" customWidth="1"/>
    <col min="2556" max="2558" width="0" style="12" hidden="1" customWidth="1"/>
    <col min="2559" max="2559" width="2.140625" style="12" customWidth="1"/>
    <col min="2560" max="2560" width="11.5703125" style="12" customWidth="1"/>
    <col min="2561" max="2561" width="2.140625" style="12" customWidth="1"/>
    <col min="2562" max="2562" width="11.85546875" style="12" customWidth="1"/>
    <col min="2563" max="2563" width="5.7109375" style="12" bestFit="1" customWidth="1"/>
    <col min="2564" max="2801" width="9.140625" style="12"/>
    <col min="2802" max="2802" width="27.42578125" style="12" customWidth="1"/>
    <col min="2803" max="2811" width="9" style="12" customWidth="1"/>
    <col min="2812" max="2814" width="0" style="12" hidden="1" customWidth="1"/>
    <col min="2815" max="2815" width="2.140625" style="12" customWidth="1"/>
    <col min="2816" max="2816" width="11.5703125" style="12" customWidth="1"/>
    <col min="2817" max="2817" width="2.140625" style="12" customWidth="1"/>
    <col min="2818" max="2818" width="11.85546875" style="12" customWidth="1"/>
    <col min="2819" max="2819" width="5.7109375" style="12" bestFit="1" customWidth="1"/>
    <col min="2820" max="3057" width="9.140625" style="12"/>
    <col min="3058" max="3058" width="27.42578125" style="12" customWidth="1"/>
    <col min="3059" max="3067" width="9" style="12" customWidth="1"/>
    <col min="3068" max="3070" width="0" style="12" hidden="1" customWidth="1"/>
    <col min="3071" max="3071" width="2.140625" style="12" customWidth="1"/>
    <col min="3072" max="3072" width="11.5703125" style="12" customWidth="1"/>
    <col min="3073" max="3073" width="2.140625" style="12" customWidth="1"/>
    <col min="3074" max="3074" width="11.85546875" style="12" customWidth="1"/>
    <col min="3075" max="3075" width="5.7109375" style="12" bestFit="1" customWidth="1"/>
    <col min="3076" max="3313" width="9.140625" style="12"/>
    <col min="3314" max="3314" width="27.42578125" style="12" customWidth="1"/>
    <col min="3315" max="3323" width="9" style="12" customWidth="1"/>
    <col min="3324" max="3326" width="0" style="12" hidden="1" customWidth="1"/>
    <col min="3327" max="3327" width="2.140625" style="12" customWidth="1"/>
    <col min="3328" max="3328" width="11.5703125" style="12" customWidth="1"/>
    <col min="3329" max="3329" width="2.140625" style="12" customWidth="1"/>
    <col min="3330" max="3330" width="11.85546875" style="12" customWidth="1"/>
    <col min="3331" max="3331" width="5.7109375" style="12" bestFit="1" customWidth="1"/>
    <col min="3332" max="3569" width="9.140625" style="12"/>
    <col min="3570" max="3570" width="27.42578125" style="12" customWidth="1"/>
    <col min="3571" max="3579" width="9" style="12" customWidth="1"/>
    <col min="3580" max="3582" width="0" style="12" hidden="1" customWidth="1"/>
    <col min="3583" max="3583" width="2.140625" style="12" customWidth="1"/>
    <col min="3584" max="3584" width="11.5703125" style="12" customWidth="1"/>
    <col min="3585" max="3585" width="2.140625" style="12" customWidth="1"/>
    <col min="3586" max="3586" width="11.85546875" style="12" customWidth="1"/>
    <col min="3587" max="3587" width="5.7109375" style="12" bestFit="1" customWidth="1"/>
    <col min="3588" max="3825" width="9.140625" style="12"/>
    <col min="3826" max="3826" width="27.42578125" style="12" customWidth="1"/>
    <col min="3827" max="3835" width="9" style="12" customWidth="1"/>
    <col min="3836" max="3838" width="0" style="12" hidden="1" customWidth="1"/>
    <col min="3839" max="3839" width="2.140625" style="12" customWidth="1"/>
    <col min="3840" max="3840" width="11.5703125" style="12" customWidth="1"/>
    <col min="3841" max="3841" width="2.140625" style="12" customWidth="1"/>
    <col min="3842" max="3842" width="11.85546875" style="12" customWidth="1"/>
    <col min="3843" max="3843" width="5.7109375" style="12" bestFit="1" customWidth="1"/>
    <col min="3844" max="4081" width="9.140625" style="12"/>
    <col min="4082" max="4082" width="27.42578125" style="12" customWidth="1"/>
    <col min="4083" max="4091" width="9" style="12" customWidth="1"/>
    <col min="4092" max="4094" width="0" style="12" hidden="1" customWidth="1"/>
    <col min="4095" max="4095" width="2.140625" style="12" customWidth="1"/>
    <col min="4096" max="4096" width="11.5703125" style="12" customWidth="1"/>
    <col min="4097" max="4097" width="2.140625" style="12" customWidth="1"/>
    <col min="4098" max="4098" width="11.85546875" style="12" customWidth="1"/>
    <col min="4099" max="4099" width="5.7109375" style="12" bestFit="1" customWidth="1"/>
    <col min="4100" max="4337" width="9.140625" style="12"/>
    <col min="4338" max="4338" width="27.42578125" style="12" customWidth="1"/>
    <col min="4339" max="4347" width="9" style="12" customWidth="1"/>
    <col min="4348" max="4350" width="0" style="12" hidden="1" customWidth="1"/>
    <col min="4351" max="4351" width="2.140625" style="12" customWidth="1"/>
    <col min="4352" max="4352" width="11.5703125" style="12" customWidth="1"/>
    <col min="4353" max="4353" width="2.140625" style="12" customWidth="1"/>
    <col min="4354" max="4354" width="11.85546875" style="12" customWidth="1"/>
    <col min="4355" max="4355" width="5.7109375" style="12" bestFit="1" customWidth="1"/>
    <col min="4356" max="4593" width="9.140625" style="12"/>
    <col min="4594" max="4594" width="27.42578125" style="12" customWidth="1"/>
    <col min="4595" max="4603" width="9" style="12" customWidth="1"/>
    <col min="4604" max="4606" width="0" style="12" hidden="1" customWidth="1"/>
    <col min="4607" max="4607" width="2.140625" style="12" customWidth="1"/>
    <col min="4608" max="4608" width="11.5703125" style="12" customWidth="1"/>
    <col min="4609" max="4609" width="2.140625" style="12" customWidth="1"/>
    <col min="4610" max="4610" width="11.85546875" style="12" customWidth="1"/>
    <col min="4611" max="4611" width="5.7109375" style="12" bestFit="1" customWidth="1"/>
    <col min="4612" max="4849" width="9.140625" style="12"/>
    <col min="4850" max="4850" width="27.42578125" style="12" customWidth="1"/>
    <col min="4851" max="4859" width="9" style="12" customWidth="1"/>
    <col min="4860" max="4862" width="0" style="12" hidden="1" customWidth="1"/>
    <col min="4863" max="4863" width="2.140625" style="12" customWidth="1"/>
    <col min="4864" max="4864" width="11.5703125" style="12" customWidth="1"/>
    <col min="4865" max="4865" width="2.140625" style="12" customWidth="1"/>
    <col min="4866" max="4866" width="11.85546875" style="12" customWidth="1"/>
    <col min="4867" max="4867" width="5.7109375" style="12" bestFit="1" customWidth="1"/>
    <col min="4868" max="5105" width="9.140625" style="12"/>
    <col min="5106" max="5106" width="27.42578125" style="12" customWidth="1"/>
    <col min="5107" max="5115" width="9" style="12" customWidth="1"/>
    <col min="5116" max="5118" width="0" style="12" hidden="1" customWidth="1"/>
    <col min="5119" max="5119" width="2.140625" style="12" customWidth="1"/>
    <col min="5120" max="5120" width="11.5703125" style="12" customWidth="1"/>
    <col min="5121" max="5121" width="2.140625" style="12" customWidth="1"/>
    <col min="5122" max="5122" width="11.85546875" style="12" customWidth="1"/>
    <col min="5123" max="5123" width="5.7109375" style="12" bestFit="1" customWidth="1"/>
    <col min="5124" max="5361" width="9.140625" style="12"/>
    <col min="5362" max="5362" width="27.42578125" style="12" customWidth="1"/>
    <col min="5363" max="5371" width="9" style="12" customWidth="1"/>
    <col min="5372" max="5374" width="0" style="12" hidden="1" customWidth="1"/>
    <col min="5375" max="5375" width="2.140625" style="12" customWidth="1"/>
    <col min="5376" max="5376" width="11.5703125" style="12" customWidth="1"/>
    <col min="5377" max="5377" width="2.140625" style="12" customWidth="1"/>
    <col min="5378" max="5378" width="11.85546875" style="12" customWidth="1"/>
    <col min="5379" max="5379" width="5.7109375" style="12" bestFit="1" customWidth="1"/>
    <col min="5380" max="5617" width="9.140625" style="12"/>
    <col min="5618" max="5618" width="27.42578125" style="12" customWidth="1"/>
    <col min="5619" max="5627" width="9" style="12" customWidth="1"/>
    <col min="5628" max="5630" width="0" style="12" hidden="1" customWidth="1"/>
    <col min="5631" max="5631" width="2.140625" style="12" customWidth="1"/>
    <col min="5632" max="5632" width="11.5703125" style="12" customWidth="1"/>
    <col min="5633" max="5633" width="2.140625" style="12" customWidth="1"/>
    <col min="5634" max="5634" width="11.85546875" style="12" customWidth="1"/>
    <col min="5635" max="5635" width="5.7109375" style="12" bestFit="1" customWidth="1"/>
    <col min="5636" max="5873" width="9.140625" style="12"/>
    <col min="5874" max="5874" width="27.42578125" style="12" customWidth="1"/>
    <col min="5875" max="5883" width="9" style="12" customWidth="1"/>
    <col min="5884" max="5886" width="0" style="12" hidden="1" customWidth="1"/>
    <col min="5887" max="5887" width="2.140625" style="12" customWidth="1"/>
    <col min="5888" max="5888" width="11.5703125" style="12" customWidth="1"/>
    <col min="5889" max="5889" width="2.140625" style="12" customWidth="1"/>
    <col min="5890" max="5890" width="11.85546875" style="12" customWidth="1"/>
    <col min="5891" max="5891" width="5.7109375" style="12" bestFit="1" customWidth="1"/>
    <col min="5892" max="6129" width="9.140625" style="12"/>
    <col min="6130" max="6130" width="27.42578125" style="12" customWidth="1"/>
    <col min="6131" max="6139" width="9" style="12" customWidth="1"/>
    <col min="6140" max="6142" width="0" style="12" hidden="1" customWidth="1"/>
    <col min="6143" max="6143" width="2.140625" style="12" customWidth="1"/>
    <col min="6144" max="6144" width="11.5703125" style="12" customWidth="1"/>
    <col min="6145" max="6145" width="2.140625" style="12" customWidth="1"/>
    <col min="6146" max="6146" width="11.85546875" style="12" customWidth="1"/>
    <col min="6147" max="6147" width="5.7109375" style="12" bestFit="1" customWidth="1"/>
    <col min="6148" max="6385" width="9.140625" style="12"/>
    <col min="6386" max="6386" width="27.42578125" style="12" customWidth="1"/>
    <col min="6387" max="6395" width="9" style="12" customWidth="1"/>
    <col min="6396" max="6398" width="0" style="12" hidden="1" customWidth="1"/>
    <col min="6399" max="6399" width="2.140625" style="12" customWidth="1"/>
    <col min="6400" max="6400" width="11.5703125" style="12" customWidth="1"/>
    <col min="6401" max="6401" width="2.140625" style="12" customWidth="1"/>
    <col min="6402" max="6402" width="11.85546875" style="12" customWidth="1"/>
    <col min="6403" max="6403" width="5.7109375" style="12" bestFit="1" customWidth="1"/>
    <col min="6404" max="6641" width="9.140625" style="12"/>
    <col min="6642" max="6642" width="27.42578125" style="12" customWidth="1"/>
    <col min="6643" max="6651" width="9" style="12" customWidth="1"/>
    <col min="6652" max="6654" width="0" style="12" hidden="1" customWidth="1"/>
    <col min="6655" max="6655" width="2.140625" style="12" customWidth="1"/>
    <col min="6656" max="6656" width="11.5703125" style="12" customWidth="1"/>
    <col min="6657" max="6657" width="2.140625" style="12" customWidth="1"/>
    <col min="6658" max="6658" width="11.85546875" style="12" customWidth="1"/>
    <col min="6659" max="6659" width="5.7109375" style="12" bestFit="1" customWidth="1"/>
    <col min="6660" max="6897" width="9.140625" style="12"/>
    <col min="6898" max="6898" width="27.42578125" style="12" customWidth="1"/>
    <col min="6899" max="6907" width="9" style="12" customWidth="1"/>
    <col min="6908" max="6910" width="0" style="12" hidden="1" customWidth="1"/>
    <col min="6911" max="6911" width="2.140625" style="12" customWidth="1"/>
    <col min="6912" max="6912" width="11.5703125" style="12" customWidth="1"/>
    <col min="6913" max="6913" width="2.140625" style="12" customWidth="1"/>
    <col min="6914" max="6914" width="11.85546875" style="12" customWidth="1"/>
    <col min="6915" max="6915" width="5.7109375" style="12" bestFit="1" customWidth="1"/>
    <col min="6916" max="7153" width="9.140625" style="12"/>
    <col min="7154" max="7154" width="27.42578125" style="12" customWidth="1"/>
    <col min="7155" max="7163" width="9" style="12" customWidth="1"/>
    <col min="7164" max="7166" width="0" style="12" hidden="1" customWidth="1"/>
    <col min="7167" max="7167" width="2.140625" style="12" customWidth="1"/>
    <col min="7168" max="7168" width="11.5703125" style="12" customWidth="1"/>
    <col min="7169" max="7169" width="2.140625" style="12" customWidth="1"/>
    <col min="7170" max="7170" width="11.85546875" style="12" customWidth="1"/>
    <col min="7171" max="7171" width="5.7109375" style="12" bestFit="1" customWidth="1"/>
    <col min="7172" max="7409" width="9.140625" style="12"/>
    <col min="7410" max="7410" width="27.42578125" style="12" customWidth="1"/>
    <col min="7411" max="7419" width="9" style="12" customWidth="1"/>
    <col min="7420" max="7422" width="0" style="12" hidden="1" customWidth="1"/>
    <col min="7423" max="7423" width="2.140625" style="12" customWidth="1"/>
    <col min="7424" max="7424" width="11.5703125" style="12" customWidth="1"/>
    <col min="7425" max="7425" width="2.140625" style="12" customWidth="1"/>
    <col min="7426" max="7426" width="11.85546875" style="12" customWidth="1"/>
    <col min="7427" max="7427" width="5.7109375" style="12" bestFit="1" customWidth="1"/>
    <col min="7428" max="7665" width="9.140625" style="12"/>
    <col min="7666" max="7666" width="27.42578125" style="12" customWidth="1"/>
    <col min="7667" max="7675" width="9" style="12" customWidth="1"/>
    <col min="7676" max="7678" width="0" style="12" hidden="1" customWidth="1"/>
    <col min="7679" max="7679" width="2.140625" style="12" customWidth="1"/>
    <col min="7680" max="7680" width="11.5703125" style="12" customWidth="1"/>
    <col min="7681" max="7681" width="2.140625" style="12" customWidth="1"/>
    <col min="7682" max="7682" width="11.85546875" style="12" customWidth="1"/>
    <col min="7683" max="7683" width="5.7109375" style="12" bestFit="1" customWidth="1"/>
    <col min="7684" max="7921" width="9.140625" style="12"/>
    <col min="7922" max="7922" width="27.42578125" style="12" customWidth="1"/>
    <col min="7923" max="7931" width="9" style="12" customWidth="1"/>
    <col min="7932" max="7934" width="0" style="12" hidden="1" customWidth="1"/>
    <col min="7935" max="7935" width="2.140625" style="12" customWidth="1"/>
    <col min="7936" max="7936" width="11.5703125" style="12" customWidth="1"/>
    <col min="7937" max="7937" width="2.140625" style="12" customWidth="1"/>
    <col min="7938" max="7938" width="11.85546875" style="12" customWidth="1"/>
    <col min="7939" max="7939" width="5.7109375" style="12" bestFit="1" customWidth="1"/>
    <col min="7940" max="8177" width="9.140625" style="12"/>
    <col min="8178" max="8178" width="27.42578125" style="12" customWidth="1"/>
    <col min="8179" max="8187" width="9" style="12" customWidth="1"/>
    <col min="8188" max="8190" width="0" style="12" hidden="1" customWidth="1"/>
    <col min="8191" max="8191" width="2.140625" style="12" customWidth="1"/>
    <col min="8192" max="8192" width="11.5703125" style="12" customWidth="1"/>
    <col min="8193" max="8193" width="2.140625" style="12" customWidth="1"/>
    <col min="8194" max="8194" width="11.85546875" style="12" customWidth="1"/>
    <col min="8195" max="8195" width="5.7109375" style="12" bestFit="1" customWidth="1"/>
    <col min="8196" max="8433" width="9.140625" style="12"/>
    <col min="8434" max="8434" width="27.42578125" style="12" customWidth="1"/>
    <col min="8435" max="8443" width="9" style="12" customWidth="1"/>
    <col min="8444" max="8446" width="0" style="12" hidden="1" customWidth="1"/>
    <col min="8447" max="8447" width="2.140625" style="12" customWidth="1"/>
    <col min="8448" max="8448" width="11.5703125" style="12" customWidth="1"/>
    <col min="8449" max="8449" width="2.140625" style="12" customWidth="1"/>
    <col min="8450" max="8450" width="11.85546875" style="12" customWidth="1"/>
    <col min="8451" max="8451" width="5.7109375" style="12" bestFit="1" customWidth="1"/>
    <col min="8452" max="8689" width="9.140625" style="12"/>
    <col min="8690" max="8690" width="27.42578125" style="12" customWidth="1"/>
    <col min="8691" max="8699" width="9" style="12" customWidth="1"/>
    <col min="8700" max="8702" width="0" style="12" hidden="1" customWidth="1"/>
    <col min="8703" max="8703" width="2.140625" style="12" customWidth="1"/>
    <col min="8704" max="8704" width="11.5703125" style="12" customWidth="1"/>
    <col min="8705" max="8705" width="2.140625" style="12" customWidth="1"/>
    <col min="8706" max="8706" width="11.85546875" style="12" customWidth="1"/>
    <col min="8707" max="8707" width="5.7109375" style="12" bestFit="1" customWidth="1"/>
    <col min="8708" max="8945" width="9.140625" style="12"/>
    <col min="8946" max="8946" width="27.42578125" style="12" customWidth="1"/>
    <col min="8947" max="8955" width="9" style="12" customWidth="1"/>
    <col min="8956" max="8958" width="0" style="12" hidden="1" customWidth="1"/>
    <col min="8959" max="8959" width="2.140625" style="12" customWidth="1"/>
    <col min="8960" max="8960" width="11.5703125" style="12" customWidth="1"/>
    <col min="8961" max="8961" width="2.140625" style="12" customWidth="1"/>
    <col min="8962" max="8962" width="11.85546875" style="12" customWidth="1"/>
    <col min="8963" max="8963" width="5.7109375" style="12" bestFit="1" customWidth="1"/>
    <col min="8964" max="9201" width="9.140625" style="12"/>
    <col min="9202" max="9202" width="27.42578125" style="12" customWidth="1"/>
    <col min="9203" max="9211" width="9" style="12" customWidth="1"/>
    <col min="9212" max="9214" width="0" style="12" hidden="1" customWidth="1"/>
    <col min="9215" max="9215" width="2.140625" style="12" customWidth="1"/>
    <col min="9216" max="9216" width="11.5703125" style="12" customWidth="1"/>
    <col min="9217" max="9217" width="2.140625" style="12" customWidth="1"/>
    <col min="9218" max="9218" width="11.85546875" style="12" customWidth="1"/>
    <col min="9219" max="9219" width="5.7109375" style="12" bestFit="1" customWidth="1"/>
    <col min="9220" max="9457" width="9.140625" style="12"/>
    <col min="9458" max="9458" width="27.42578125" style="12" customWidth="1"/>
    <col min="9459" max="9467" width="9" style="12" customWidth="1"/>
    <col min="9468" max="9470" width="0" style="12" hidden="1" customWidth="1"/>
    <col min="9471" max="9471" width="2.140625" style="12" customWidth="1"/>
    <col min="9472" max="9472" width="11.5703125" style="12" customWidth="1"/>
    <col min="9473" max="9473" width="2.140625" style="12" customWidth="1"/>
    <col min="9474" max="9474" width="11.85546875" style="12" customWidth="1"/>
    <col min="9475" max="9475" width="5.7109375" style="12" bestFit="1" customWidth="1"/>
    <col min="9476" max="9713" width="9.140625" style="12"/>
    <col min="9714" max="9714" width="27.42578125" style="12" customWidth="1"/>
    <col min="9715" max="9723" width="9" style="12" customWidth="1"/>
    <col min="9724" max="9726" width="0" style="12" hidden="1" customWidth="1"/>
    <col min="9727" max="9727" width="2.140625" style="12" customWidth="1"/>
    <col min="9728" max="9728" width="11.5703125" style="12" customWidth="1"/>
    <col min="9729" max="9729" width="2.140625" style="12" customWidth="1"/>
    <col min="9730" max="9730" width="11.85546875" style="12" customWidth="1"/>
    <col min="9731" max="9731" width="5.7109375" style="12" bestFit="1" customWidth="1"/>
    <col min="9732" max="9969" width="9.140625" style="12"/>
    <col min="9970" max="9970" width="27.42578125" style="12" customWidth="1"/>
    <col min="9971" max="9979" width="9" style="12" customWidth="1"/>
    <col min="9980" max="9982" width="0" style="12" hidden="1" customWidth="1"/>
    <col min="9983" max="9983" width="2.140625" style="12" customWidth="1"/>
    <col min="9984" max="9984" width="11.5703125" style="12" customWidth="1"/>
    <col min="9985" max="9985" width="2.140625" style="12" customWidth="1"/>
    <col min="9986" max="9986" width="11.85546875" style="12" customWidth="1"/>
    <col min="9987" max="9987" width="5.7109375" style="12" bestFit="1" customWidth="1"/>
    <col min="9988" max="10225" width="9.140625" style="12"/>
    <col min="10226" max="10226" width="27.42578125" style="12" customWidth="1"/>
    <col min="10227" max="10235" width="9" style="12" customWidth="1"/>
    <col min="10236" max="10238" width="0" style="12" hidden="1" customWidth="1"/>
    <col min="10239" max="10239" width="2.140625" style="12" customWidth="1"/>
    <col min="10240" max="10240" width="11.5703125" style="12" customWidth="1"/>
    <col min="10241" max="10241" width="2.140625" style="12" customWidth="1"/>
    <col min="10242" max="10242" width="11.85546875" style="12" customWidth="1"/>
    <col min="10243" max="10243" width="5.7109375" style="12" bestFit="1" customWidth="1"/>
    <col min="10244" max="10481" width="9.140625" style="12"/>
    <col min="10482" max="10482" width="27.42578125" style="12" customWidth="1"/>
    <col min="10483" max="10491" width="9" style="12" customWidth="1"/>
    <col min="10492" max="10494" width="0" style="12" hidden="1" customWidth="1"/>
    <col min="10495" max="10495" width="2.140625" style="12" customWidth="1"/>
    <col min="10496" max="10496" width="11.5703125" style="12" customWidth="1"/>
    <col min="10497" max="10497" width="2.140625" style="12" customWidth="1"/>
    <col min="10498" max="10498" width="11.85546875" style="12" customWidth="1"/>
    <col min="10499" max="10499" width="5.7109375" style="12" bestFit="1" customWidth="1"/>
    <col min="10500" max="10737" width="9.140625" style="12"/>
    <col min="10738" max="10738" width="27.42578125" style="12" customWidth="1"/>
    <col min="10739" max="10747" width="9" style="12" customWidth="1"/>
    <col min="10748" max="10750" width="0" style="12" hidden="1" customWidth="1"/>
    <col min="10751" max="10751" width="2.140625" style="12" customWidth="1"/>
    <col min="10752" max="10752" width="11.5703125" style="12" customWidth="1"/>
    <col min="10753" max="10753" width="2.140625" style="12" customWidth="1"/>
    <col min="10754" max="10754" width="11.85546875" style="12" customWidth="1"/>
    <col min="10755" max="10755" width="5.7109375" style="12" bestFit="1" customWidth="1"/>
    <col min="10756" max="10993" width="9.140625" style="12"/>
    <col min="10994" max="10994" width="27.42578125" style="12" customWidth="1"/>
    <col min="10995" max="11003" width="9" style="12" customWidth="1"/>
    <col min="11004" max="11006" width="0" style="12" hidden="1" customWidth="1"/>
    <col min="11007" max="11007" width="2.140625" style="12" customWidth="1"/>
    <col min="11008" max="11008" width="11.5703125" style="12" customWidth="1"/>
    <col min="11009" max="11009" width="2.140625" style="12" customWidth="1"/>
    <col min="11010" max="11010" width="11.85546875" style="12" customWidth="1"/>
    <col min="11011" max="11011" width="5.7109375" style="12" bestFit="1" customWidth="1"/>
    <col min="11012" max="11249" width="9.140625" style="12"/>
    <col min="11250" max="11250" width="27.42578125" style="12" customWidth="1"/>
    <col min="11251" max="11259" width="9" style="12" customWidth="1"/>
    <col min="11260" max="11262" width="0" style="12" hidden="1" customWidth="1"/>
    <col min="11263" max="11263" width="2.140625" style="12" customWidth="1"/>
    <col min="11264" max="11264" width="11.5703125" style="12" customWidth="1"/>
    <col min="11265" max="11265" width="2.140625" style="12" customWidth="1"/>
    <col min="11266" max="11266" width="11.85546875" style="12" customWidth="1"/>
    <col min="11267" max="11267" width="5.7109375" style="12" bestFit="1" customWidth="1"/>
    <col min="11268" max="11505" width="9.140625" style="12"/>
    <col min="11506" max="11506" width="27.42578125" style="12" customWidth="1"/>
    <col min="11507" max="11515" width="9" style="12" customWidth="1"/>
    <col min="11516" max="11518" width="0" style="12" hidden="1" customWidth="1"/>
    <col min="11519" max="11519" width="2.140625" style="12" customWidth="1"/>
    <col min="11520" max="11520" width="11.5703125" style="12" customWidth="1"/>
    <col min="11521" max="11521" width="2.140625" style="12" customWidth="1"/>
    <col min="11522" max="11522" width="11.85546875" style="12" customWidth="1"/>
    <col min="11523" max="11523" width="5.7109375" style="12" bestFit="1" customWidth="1"/>
    <col min="11524" max="11761" width="9.140625" style="12"/>
    <col min="11762" max="11762" width="27.42578125" style="12" customWidth="1"/>
    <col min="11763" max="11771" width="9" style="12" customWidth="1"/>
    <col min="11772" max="11774" width="0" style="12" hidden="1" customWidth="1"/>
    <col min="11775" max="11775" width="2.140625" style="12" customWidth="1"/>
    <col min="11776" max="11776" width="11.5703125" style="12" customWidth="1"/>
    <col min="11777" max="11777" width="2.140625" style="12" customWidth="1"/>
    <col min="11778" max="11778" width="11.85546875" style="12" customWidth="1"/>
    <col min="11779" max="11779" width="5.7109375" style="12" bestFit="1" customWidth="1"/>
    <col min="11780" max="12017" width="9.140625" style="12"/>
    <col min="12018" max="12018" width="27.42578125" style="12" customWidth="1"/>
    <col min="12019" max="12027" width="9" style="12" customWidth="1"/>
    <col min="12028" max="12030" width="0" style="12" hidden="1" customWidth="1"/>
    <col min="12031" max="12031" width="2.140625" style="12" customWidth="1"/>
    <col min="12032" max="12032" width="11.5703125" style="12" customWidth="1"/>
    <col min="12033" max="12033" width="2.140625" style="12" customWidth="1"/>
    <col min="12034" max="12034" width="11.85546875" style="12" customWidth="1"/>
    <col min="12035" max="12035" width="5.7109375" style="12" bestFit="1" customWidth="1"/>
    <col min="12036" max="12273" width="9.140625" style="12"/>
    <col min="12274" max="12274" width="27.42578125" style="12" customWidth="1"/>
    <col min="12275" max="12283" width="9" style="12" customWidth="1"/>
    <col min="12284" max="12286" width="0" style="12" hidden="1" customWidth="1"/>
    <col min="12287" max="12287" width="2.140625" style="12" customWidth="1"/>
    <col min="12288" max="12288" width="11.5703125" style="12" customWidth="1"/>
    <col min="12289" max="12289" width="2.140625" style="12" customWidth="1"/>
    <col min="12290" max="12290" width="11.85546875" style="12" customWidth="1"/>
    <col min="12291" max="12291" width="5.7109375" style="12" bestFit="1" customWidth="1"/>
    <col min="12292" max="12529" width="9.140625" style="12"/>
    <col min="12530" max="12530" width="27.42578125" style="12" customWidth="1"/>
    <col min="12531" max="12539" width="9" style="12" customWidth="1"/>
    <col min="12540" max="12542" width="0" style="12" hidden="1" customWidth="1"/>
    <col min="12543" max="12543" width="2.140625" style="12" customWidth="1"/>
    <col min="12544" max="12544" width="11.5703125" style="12" customWidth="1"/>
    <col min="12545" max="12545" width="2.140625" style="12" customWidth="1"/>
    <col min="12546" max="12546" width="11.85546875" style="12" customWidth="1"/>
    <col min="12547" max="12547" width="5.7109375" style="12" bestFit="1" customWidth="1"/>
    <col min="12548" max="12785" width="9.140625" style="12"/>
    <col min="12786" max="12786" width="27.42578125" style="12" customWidth="1"/>
    <col min="12787" max="12795" width="9" style="12" customWidth="1"/>
    <col min="12796" max="12798" width="0" style="12" hidden="1" customWidth="1"/>
    <col min="12799" max="12799" width="2.140625" style="12" customWidth="1"/>
    <col min="12800" max="12800" width="11.5703125" style="12" customWidth="1"/>
    <col min="12801" max="12801" width="2.140625" style="12" customWidth="1"/>
    <col min="12802" max="12802" width="11.85546875" style="12" customWidth="1"/>
    <col min="12803" max="12803" width="5.7109375" style="12" bestFit="1" customWidth="1"/>
    <col min="12804" max="13041" width="9.140625" style="12"/>
    <col min="13042" max="13042" width="27.42578125" style="12" customWidth="1"/>
    <col min="13043" max="13051" width="9" style="12" customWidth="1"/>
    <col min="13052" max="13054" width="0" style="12" hidden="1" customWidth="1"/>
    <col min="13055" max="13055" width="2.140625" style="12" customWidth="1"/>
    <col min="13056" max="13056" width="11.5703125" style="12" customWidth="1"/>
    <col min="13057" max="13057" width="2.140625" style="12" customWidth="1"/>
    <col min="13058" max="13058" width="11.85546875" style="12" customWidth="1"/>
    <col min="13059" max="13059" width="5.7109375" style="12" bestFit="1" customWidth="1"/>
    <col min="13060" max="13297" width="9.140625" style="12"/>
    <col min="13298" max="13298" width="27.42578125" style="12" customWidth="1"/>
    <col min="13299" max="13307" width="9" style="12" customWidth="1"/>
    <col min="13308" max="13310" width="0" style="12" hidden="1" customWidth="1"/>
    <col min="13311" max="13311" width="2.140625" style="12" customWidth="1"/>
    <col min="13312" max="13312" width="11.5703125" style="12" customWidth="1"/>
    <col min="13313" max="13313" width="2.140625" style="12" customWidth="1"/>
    <col min="13314" max="13314" width="11.85546875" style="12" customWidth="1"/>
    <col min="13315" max="13315" width="5.7109375" style="12" bestFit="1" customWidth="1"/>
    <col min="13316" max="13553" width="9.140625" style="12"/>
    <col min="13554" max="13554" width="27.42578125" style="12" customWidth="1"/>
    <col min="13555" max="13563" width="9" style="12" customWidth="1"/>
    <col min="13564" max="13566" width="0" style="12" hidden="1" customWidth="1"/>
    <col min="13567" max="13567" width="2.140625" style="12" customWidth="1"/>
    <col min="13568" max="13568" width="11.5703125" style="12" customWidth="1"/>
    <col min="13569" max="13569" width="2.140625" style="12" customWidth="1"/>
    <col min="13570" max="13570" width="11.85546875" style="12" customWidth="1"/>
    <col min="13571" max="13571" width="5.7109375" style="12" bestFit="1" customWidth="1"/>
    <col min="13572" max="13809" width="9.140625" style="12"/>
    <col min="13810" max="13810" width="27.42578125" style="12" customWidth="1"/>
    <col min="13811" max="13819" width="9" style="12" customWidth="1"/>
    <col min="13820" max="13822" width="0" style="12" hidden="1" customWidth="1"/>
    <col min="13823" max="13823" width="2.140625" style="12" customWidth="1"/>
    <col min="13824" max="13824" width="11.5703125" style="12" customWidth="1"/>
    <col min="13825" max="13825" width="2.140625" style="12" customWidth="1"/>
    <col min="13826" max="13826" width="11.85546875" style="12" customWidth="1"/>
    <col min="13827" max="13827" width="5.7109375" style="12" bestFit="1" customWidth="1"/>
    <col min="13828" max="14065" width="9.140625" style="12"/>
    <col min="14066" max="14066" width="27.42578125" style="12" customWidth="1"/>
    <col min="14067" max="14075" width="9" style="12" customWidth="1"/>
    <col min="14076" max="14078" width="0" style="12" hidden="1" customWidth="1"/>
    <col min="14079" max="14079" width="2.140625" style="12" customWidth="1"/>
    <col min="14080" max="14080" width="11.5703125" style="12" customWidth="1"/>
    <col min="14081" max="14081" width="2.140625" style="12" customWidth="1"/>
    <col min="14082" max="14082" width="11.85546875" style="12" customWidth="1"/>
    <col min="14083" max="14083" width="5.7109375" style="12" bestFit="1" customWidth="1"/>
    <col min="14084" max="14321" width="9.140625" style="12"/>
    <col min="14322" max="14322" width="27.42578125" style="12" customWidth="1"/>
    <col min="14323" max="14331" width="9" style="12" customWidth="1"/>
    <col min="14332" max="14334" width="0" style="12" hidden="1" customWidth="1"/>
    <col min="14335" max="14335" width="2.140625" style="12" customWidth="1"/>
    <col min="14336" max="14336" width="11.5703125" style="12" customWidth="1"/>
    <col min="14337" max="14337" width="2.140625" style="12" customWidth="1"/>
    <col min="14338" max="14338" width="11.85546875" style="12" customWidth="1"/>
    <col min="14339" max="14339" width="5.7109375" style="12" bestFit="1" customWidth="1"/>
    <col min="14340" max="14577" width="9.140625" style="12"/>
    <col min="14578" max="14578" width="27.42578125" style="12" customWidth="1"/>
    <col min="14579" max="14587" width="9" style="12" customWidth="1"/>
    <col min="14588" max="14590" width="0" style="12" hidden="1" customWidth="1"/>
    <col min="14591" max="14591" width="2.140625" style="12" customWidth="1"/>
    <col min="14592" max="14592" width="11.5703125" style="12" customWidth="1"/>
    <col min="14593" max="14593" width="2.140625" style="12" customWidth="1"/>
    <col min="14594" max="14594" width="11.85546875" style="12" customWidth="1"/>
    <col min="14595" max="14595" width="5.7109375" style="12" bestFit="1" customWidth="1"/>
    <col min="14596" max="14833" width="9.140625" style="12"/>
    <col min="14834" max="14834" width="27.42578125" style="12" customWidth="1"/>
    <col min="14835" max="14843" width="9" style="12" customWidth="1"/>
    <col min="14844" max="14846" width="0" style="12" hidden="1" customWidth="1"/>
    <col min="14847" max="14847" width="2.140625" style="12" customWidth="1"/>
    <col min="14848" max="14848" width="11.5703125" style="12" customWidth="1"/>
    <col min="14849" max="14849" width="2.140625" style="12" customWidth="1"/>
    <col min="14850" max="14850" width="11.85546875" style="12" customWidth="1"/>
    <col min="14851" max="14851" width="5.7109375" style="12" bestFit="1" customWidth="1"/>
    <col min="14852" max="15089" width="9.140625" style="12"/>
    <col min="15090" max="15090" width="27.42578125" style="12" customWidth="1"/>
    <col min="15091" max="15099" width="9" style="12" customWidth="1"/>
    <col min="15100" max="15102" width="0" style="12" hidden="1" customWidth="1"/>
    <col min="15103" max="15103" width="2.140625" style="12" customWidth="1"/>
    <col min="15104" max="15104" width="11.5703125" style="12" customWidth="1"/>
    <col min="15105" max="15105" width="2.140625" style="12" customWidth="1"/>
    <col min="15106" max="15106" width="11.85546875" style="12" customWidth="1"/>
    <col min="15107" max="15107" width="5.7109375" style="12" bestFit="1" customWidth="1"/>
    <col min="15108" max="15345" width="9.140625" style="12"/>
    <col min="15346" max="15346" width="27.42578125" style="12" customWidth="1"/>
    <col min="15347" max="15355" width="9" style="12" customWidth="1"/>
    <col min="15356" max="15358" width="0" style="12" hidden="1" customWidth="1"/>
    <col min="15359" max="15359" width="2.140625" style="12" customWidth="1"/>
    <col min="15360" max="15360" width="11.5703125" style="12" customWidth="1"/>
    <col min="15361" max="15361" width="2.140625" style="12" customWidth="1"/>
    <col min="15362" max="15362" width="11.85546875" style="12" customWidth="1"/>
    <col min="15363" max="15363" width="5.7109375" style="12" bestFit="1" customWidth="1"/>
    <col min="15364" max="15601" width="9.140625" style="12"/>
    <col min="15602" max="15602" width="27.42578125" style="12" customWidth="1"/>
    <col min="15603" max="15611" width="9" style="12" customWidth="1"/>
    <col min="15612" max="15614" width="0" style="12" hidden="1" customWidth="1"/>
    <col min="15615" max="15615" width="2.140625" style="12" customWidth="1"/>
    <col min="15616" max="15616" width="11.5703125" style="12" customWidth="1"/>
    <col min="15617" max="15617" width="2.140625" style="12" customWidth="1"/>
    <col min="15618" max="15618" width="11.85546875" style="12" customWidth="1"/>
    <col min="15619" max="15619" width="5.7109375" style="12" bestFit="1" customWidth="1"/>
    <col min="15620" max="15857" width="9.140625" style="12"/>
    <col min="15858" max="15858" width="27.42578125" style="12" customWidth="1"/>
    <col min="15859" max="15867" width="9" style="12" customWidth="1"/>
    <col min="15868" max="15870" width="0" style="12" hidden="1" customWidth="1"/>
    <col min="15871" max="15871" width="2.140625" style="12" customWidth="1"/>
    <col min="15872" max="15872" width="11.5703125" style="12" customWidth="1"/>
    <col min="15873" max="15873" width="2.140625" style="12" customWidth="1"/>
    <col min="15874" max="15874" width="11.85546875" style="12" customWidth="1"/>
    <col min="15875" max="15875" width="5.7109375" style="12" bestFit="1" customWidth="1"/>
    <col min="15876" max="16113" width="9.140625" style="12"/>
    <col min="16114" max="16114" width="27.42578125" style="12" customWidth="1"/>
    <col min="16115" max="16123" width="9" style="12" customWidth="1"/>
    <col min="16124" max="16126" width="0" style="12" hidden="1" customWidth="1"/>
    <col min="16127" max="16127" width="2.140625" style="12" customWidth="1"/>
    <col min="16128" max="16128" width="11.5703125" style="12" customWidth="1"/>
    <col min="16129" max="16129" width="2.140625" style="12" customWidth="1"/>
    <col min="16130" max="16130" width="11.85546875" style="12" customWidth="1"/>
    <col min="16131" max="16131" width="5.7109375" style="12" bestFit="1" customWidth="1"/>
    <col min="16132" max="16384" width="9.140625" style="12"/>
  </cols>
  <sheetData>
    <row r="1" spans="1:13" ht="27" customHeight="1" x14ac:dyDescent="0.35">
      <c r="A1" s="134" t="s">
        <v>347</v>
      </c>
      <c r="B1" s="134"/>
      <c r="C1" s="134"/>
      <c r="D1" s="134"/>
      <c r="E1" s="134"/>
      <c r="F1" s="134"/>
      <c r="G1" s="134"/>
    </row>
    <row r="2" spans="1:13" ht="10.5" customHeight="1" x14ac:dyDescent="0.35">
      <c r="A2" s="46"/>
      <c r="B2" s="46"/>
      <c r="C2" s="46"/>
      <c r="D2" s="46"/>
    </row>
    <row r="3" spans="1:13" s="51" customFormat="1" x14ac:dyDescent="0.25">
      <c r="F3" s="136" t="s">
        <v>319</v>
      </c>
      <c r="G3" s="137"/>
    </row>
    <row r="4" spans="1:13" s="56" customFormat="1" ht="27" customHeight="1" x14ac:dyDescent="0.25">
      <c r="A4" s="52" t="s">
        <v>318</v>
      </c>
      <c r="B4" s="53" t="s">
        <v>230</v>
      </c>
      <c r="C4" s="53" t="s">
        <v>307</v>
      </c>
      <c r="D4" s="53" t="s">
        <v>346</v>
      </c>
      <c r="E4" s="54"/>
      <c r="F4" s="55" t="s">
        <v>344</v>
      </c>
      <c r="G4" s="55" t="s">
        <v>345</v>
      </c>
    </row>
    <row r="5" spans="1:13" s="5" customFormat="1" hidden="1" x14ac:dyDescent="0.2">
      <c r="A5" s="6"/>
      <c r="B5" s="7"/>
      <c r="C5" s="7"/>
      <c r="D5" s="7" t="e">
        <f>#REF!</f>
        <v>#REF!</v>
      </c>
      <c r="E5" s="4"/>
      <c r="F5" s="7"/>
      <c r="G5" s="7"/>
    </row>
    <row r="6" spans="1:13" s="5" customFormat="1" ht="18" customHeight="1" x14ac:dyDescent="0.2">
      <c r="A6" s="8" t="s">
        <v>87</v>
      </c>
      <c r="B6" s="4"/>
      <c r="C6" s="4"/>
      <c r="D6" s="4"/>
      <c r="E6" s="4"/>
      <c r="F6" s="4"/>
      <c r="G6" s="4"/>
      <c r="H6" s="4"/>
      <c r="I6" s="4"/>
      <c r="J6" s="4"/>
      <c r="L6" s="4"/>
      <c r="M6" s="4"/>
    </row>
    <row r="7" spans="1:13" x14ac:dyDescent="0.2">
      <c r="A7" s="9" t="s">
        <v>88</v>
      </c>
      <c r="B7" s="10">
        <v>726570.7100000002</v>
      </c>
      <c r="C7" s="10">
        <v>641525.16</v>
      </c>
      <c r="D7" s="10" t="e">
        <f>VLOOKUP(A7,#REF!,15,0)</f>
        <v>#REF!</v>
      </c>
      <c r="F7" s="10">
        <f>C7-B7</f>
        <v>-85045.550000000163</v>
      </c>
      <c r="G7" s="10" t="e">
        <f>D7-C7</f>
        <v>#REF!</v>
      </c>
    </row>
    <row r="8" spans="1:13" x14ac:dyDescent="0.2">
      <c r="A8" s="13" t="s">
        <v>343</v>
      </c>
      <c r="B8" s="10">
        <v>179367.66999999998</v>
      </c>
      <c r="C8" s="10">
        <v>194886.85</v>
      </c>
      <c r="D8" s="10" t="e">
        <f>VLOOKUP(A8,#REF!,15,0)</f>
        <v>#REF!</v>
      </c>
      <c r="F8" s="10">
        <f t="shared" ref="F8:F15" si="0">C8-B8</f>
        <v>15519.180000000022</v>
      </c>
      <c r="G8" s="10" t="e">
        <f t="shared" ref="G8:G15" si="1">D8-C8</f>
        <v>#REF!</v>
      </c>
    </row>
    <row r="9" spans="1:13" hidden="1" x14ac:dyDescent="0.2">
      <c r="A9" s="13" t="s">
        <v>90</v>
      </c>
      <c r="B9" s="10">
        <v>0</v>
      </c>
      <c r="C9" s="10">
        <v>0</v>
      </c>
      <c r="D9" s="10" t="e">
        <f>VLOOKUP(A9,#REF!,15,0)</f>
        <v>#REF!</v>
      </c>
      <c r="F9" s="10">
        <f t="shared" si="0"/>
        <v>0</v>
      </c>
      <c r="G9" s="10" t="e">
        <f t="shared" si="1"/>
        <v>#REF!</v>
      </c>
    </row>
    <row r="10" spans="1:13" hidden="1" x14ac:dyDescent="0.2">
      <c r="A10" s="13" t="s">
        <v>92</v>
      </c>
      <c r="B10" s="10">
        <v>0</v>
      </c>
      <c r="C10" s="10">
        <v>0</v>
      </c>
      <c r="D10" s="10" t="e">
        <f>VLOOKUP(A10,#REF!,15,0)</f>
        <v>#REF!</v>
      </c>
      <c r="F10" s="10">
        <f t="shared" si="0"/>
        <v>0</v>
      </c>
      <c r="G10" s="10" t="e">
        <f t="shared" si="1"/>
        <v>#REF!</v>
      </c>
    </row>
    <row r="11" spans="1:13" x14ac:dyDescent="0.2">
      <c r="A11" s="13" t="s">
        <v>93</v>
      </c>
      <c r="B11" s="10">
        <v>0</v>
      </c>
      <c r="C11" s="10">
        <v>55182.729999999996</v>
      </c>
      <c r="D11" s="10" t="e">
        <f>VLOOKUP(A11,#REF!,15,0)</f>
        <v>#REF!</v>
      </c>
      <c r="F11" s="10">
        <f t="shared" si="0"/>
        <v>55182.729999999996</v>
      </c>
      <c r="G11" s="10" t="e">
        <f t="shared" si="1"/>
        <v>#REF!</v>
      </c>
    </row>
    <row r="12" spans="1:13" hidden="1" x14ac:dyDescent="0.2">
      <c r="A12" s="13" t="s">
        <v>94</v>
      </c>
      <c r="B12" s="10">
        <v>0</v>
      </c>
      <c r="C12" s="10">
        <v>0</v>
      </c>
      <c r="D12" s="10" t="e">
        <f>VLOOKUP(A12,#REF!,15,0)</f>
        <v>#REF!</v>
      </c>
      <c r="F12" s="10">
        <f t="shared" si="0"/>
        <v>0</v>
      </c>
      <c r="G12" s="10" t="e">
        <f t="shared" si="1"/>
        <v>#REF!</v>
      </c>
    </row>
    <row r="13" spans="1:13" x14ac:dyDescent="0.2">
      <c r="A13" s="13" t="s">
        <v>95</v>
      </c>
      <c r="B13" s="10">
        <v>13718.15</v>
      </c>
      <c r="C13" s="10">
        <v>2010</v>
      </c>
      <c r="D13" s="10" t="e">
        <f>VLOOKUP(A13,#REF!,15,0)</f>
        <v>#REF!</v>
      </c>
      <c r="F13" s="10">
        <f t="shared" si="0"/>
        <v>-11708.15</v>
      </c>
      <c r="G13" s="10" t="e">
        <f t="shared" si="1"/>
        <v>#REF!</v>
      </c>
    </row>
    <row r="14" spans="1:13" hidden="1" x14ac:dyDescent="0.2">
      <c r="A14" s="13" t="s">
        <v>207</v>
      </c>
      <c r="B14" s="10">
        <v>0</v>
      </c>
      <c r="C14" s="10">
        <v>0</v>
      </c>
      <c r="D14" s="10" t="e">
        <f>VLOOKUP(A14,#REF!,15,0)</f>
        <v>#REF!</v>
      </c>
      <c r="F14" s="10">
        <f t="shared" si="0"/>
        <v>0</v>
      </c>
      <c r="G14" s="10" t="e">
        <f t="shared" si="1"/>
        <v>#REF!</v>
      </c>
    </row>
    <row r="15" spans="1:13" x14ac:dyDescent="0.2">
      <c r="A15" s="13" t="s">
        <v>96</v>
      </c>
      <c r="B15" s="10">
        <v>2242</v>
      </c>
      <c r="C15" s="10">
        <v>598.5</v>
      </c>
      <c r="D15" s="10" t="e">
        <f>VLOOKUP(A15,#REF!,15,0)</f>
        <v>#REF!</v>
      </c>
      <c r="F15" s="10">
        <f t="shared" si="0"/>
        <v>-1643.5</v>
      </c>
      <c r="G15" s="10" t="e">
        <f t="shared" si="1"/>
        <v>#REF!</v>
      </c>
    </row>
    <row r="16" spans="1:13" s="5" customFormat="1" x14ac:dyDescent="0.2">
      <c r="A16" s="15" t="s">
        <v>322</v>
      </c>
      <c r="B16" s="16">
        <f t="shared" ref="B16:C16" si="2">SUM(B7:B15)</f>
        <v>921898.53000000014</v>
      </c>
      <c r="C16" s="16">
        <f t="shared" si="2"/>
        <v>894203.24</v>
      </c>
      <c r="D16" s="16" t="e">
        <f>SUM(D7:D15)</f>
        <v>#REF!</v>
      </c>
      <c r="F16" s="16">
        <f t="shared" ref="F16:G16" si="3">SUM(F7:F15)</f>
        <v>-27695.290000000146</v>
      </c>
      <c r="G16" s="16" t="e">
        <f t="shared" si="3"/>
        <v>#REF!</v>
      </c>
    </row>
    <row r="17" spans="1:7" s="5" customFormat="1" x14ac:dyDescent="0.2">
      <c r="A17" s="27"/>
      <c r="B17" s="17"/>
      <c r="C17" s="17"/>
      <c r="D17" s="17"/>
      <c r="F17" s="62">
        <f>IFERROR(C16/B16-1,"")</f>
        <v>-3.004158169120863E-2</v>
      </c>
      <c r="G17" s="62" t="str">
        <f>IFERROR(D16/C16-1,"")</f>
        <v/>
      </c>
    </row>
    <row r="18" spans="1:7" s="5" customFormat="1" ht="17.25" customHeight="1" x14ac:dyDescent="0.2">
      <c r="A18" s="8" t="s">
        <v>262</v>
      </c>
      <c r="B18" s="4"/>
      <c r="C18" s="4"/>
      <c r="D18" s="4"/>
      <c r="F18" s="4"/>
      <c r="G18" s="4"/>
    </row>
    <row r="19" spans="1:7" x14ac:dyDescent="0.2">
      <c r="A19" s="13" t="s">
        <v>98</v>
      </c>
      <c r="B19" s="10">
        <v>0</v>
      </c>
      <c r="C19" s="10">
        <v>17474</v>
      </c>
      <c r="D19" s="10" t="e">
        <f>VLOOKUP(A19,#REF!,15,0)</f>
        <v>#REF!</v>
      </c>
      <c r="F19" s="10">
        <f t="shared" ref="F19:F22" si="4">C19-B19</f>
        <v>17474</v>
      </c>
      <c r="G19" s="10" t="e">
        <f t="shared" ref="G19:G22" si="5">D19-C19</f>
        <v>#REF!</v>
      </c>
    </row>
    <row r="20" spans="1:7" x14ac:dyDescent="0.2">
      <c r="A20" s="13" t="s">
        <v>99</v>
      </c>
      <c r="B20" s="10">
        <v>734.05</v>
      </c>
      <c r="C20" s="10">
        <v>821.85</v>
      </c>
      <c r="D20" s="10" t="e">
        <f>VLOOKUP(A20,#REF!,15,0)</f>
        <v>#REF!</v>
      </c>
      <c r="F20" s="10">
        <f t="shared" si="4"/>
        <v>87.800000000000068</v>
      </c>
      <c r="G20" s="10" t="e">
        <f t="shared" si="5"/>
        <v>#REF!</v>
      </c>
    </row>
    <row r="21" spans="1:7" x14ac:dyDescent="0.2">
      <c r="A21" s="13" t="s">
        <v>202</v>
      </c>
      <c r="B21" s="10">
        <v>7989</v>
      </c>
      <c r="C21" s="10">
        <v>380</v>
      </c>
      <c r="D21" s="10" t="e">
        <f>VLOOKUP(A21,#REF!,15,0)</f>
        <v>#REF!</v>
      </c>
      <c r="F21" s="10">
        <f t="shared" si="4"/>
        <v>-7609</v>
      </c>
      <c r="G21" s="10" t="e">
        <f t="shared" si="5"/>
        <v>#REF!</v>
      </c>
    </row>
    <row r="22" spans="1:7" x14ac:dyDescent="0.2">
      <c r="A22" s="13" t="s">
        <v>101</v>
      </c>
      <c r="B22" s="10">
        <v>3150</v>
      </c>
      <c r="C22" s="10">
        <v>16573</v>
      </c>
      <c r="D22" s="10" t="e">
        <f>VLOOKUP(A22,#REF!,15,0)</f>
        <v>#REF!</v>
      </c>
      <c r="F22" s="10">
        <f t="shared" si="4"/>
        <v>13423</v>
      </c>
      <c r="G22" s="10" t="e">
        <f t="shared" si="5"/>
        <v>#REF!</v>
      </c>
    </row>
    <row r="23" spans="1:7" x14ac:dyDescent="0.2">
      <c r="A23" s="13" t="s">
        <v>102</v>
      </c>
      <c r="B23" s="10">
        <v>22476.400000000001</v>
      </c>
      <c r="C23" s="10">
        <v>9427.2199999999993</v>
      </c>
      <c r="D23" s="10" t="e">
        <f>VLOOKUP(A23,#REF!,15,0)</f>
        <v>#REF!</v>
      </c>
      <c r="F23" s="10">
        <f t="shared" ref="F23" si="6">C23-B23</f>
        <v>-13049.180000000002</v>
      </c>
      <c r="G23" s="10" t="e">
        <f t="shared" ref="G23" si="7">D23-C23</f>
        <v>#REF!</v>
      </c>
    </row>
    <row r="24" spans="1:7" hidden="1" x14ac:dyDescent="0.2">
      <c r="A24" s="13" t="s">
        <v>103</v>
      </c>
      <c r="B24" s="10">
        <v>0</v>
      </c>
      <c r="C24" s="10">
        <v>0</v>
      </c>
      <c r="D24" s="10" t="e">
        <f>VLOOKUP(A24,#REF!,15,0)</f>
        <v>#REF!</v>
      </c>
      <c r="F24" s="61" t="str">
        <f t="shared" ref="F24:F25" si="8">IFERROR(C24/B24-1,"")</f>
        <v/>
      </c>
      <c r="G24" s="61" t="str">
        <f t="shared" ref="G24:G25" si="9">IFERROR(D24/C24-1,"")</f>
        <v/>
      </c>
    </row>
    <row r="25" spans="1:7" hidden="1" x14ac:dyDescent="0.2">
      <c r="A25" s="13" t="s">
        <v>104</v>
      </c>
      <c r="B25" s="10">
        <v>0</v>
      </c>
      <c r="C25" s="10">
        <v>0</v>
      </c>
      <c r="D25" s="10" t="e">
        <f>VLOOKUP(A25,#REF!,15,0)</f>
        <v>#REF!</v>
      </c>
      <c r="F25" s="61" t="str">
        <f t="shared" si="8"/>
        <v/>
      </c>
      <c r="G25" s="61" t="str">
        <f t="shared" si="9"/>
        <v/>
      </c>
    </row>
    <row r="26" spans="1:7" s="5" customFormat="1" x14ac:dyDescent="0.2">
      <c r="A26" s="15" t="s">
        <v>263</v>
      </c>
      <c r="B26" s="16">
        <f>SUM(B19:B25)</f>
        <v>34349.449999999997</v>
      </c>
      <c r="C26" s="16">
        <f>SUM(C19:C25)</f>
        <v>44676.07</v>
      </c>
      <c r="D26" s="16" t="e">
        <f>SUM(D19:D25)</f>
        <v>#REF!</v>
      </c>
      <c r="F26" s="16">
        <f t="shared" ref="F26:G26" si="10">SUM(F19:F25)</f>
        <v>10326.619999999997</v>
      </c>
      <c r="G26" s="16" t="e">
        <f t="shared" si="10"/>
        <v>#REF!</v>
      </c>
    </row>
    <row r="27" spans="1:7" s="5" customFormat="1" x14ac:dyDescent="0.2">
      <c r="A27" s="27"/>
      <c r="B27" s="17"/>
      <c r="C27" s="17"/>
      <c r="D27" s="17"/>
      <c r="F27" s="62">
        <f>IFERROR(C26/B26-1,"")</f>
        <v>0.30063421685063374</v>
      </c>
      <c r="G27" s="62" t="str">
        <f>IFERROR(D26/C26-1,"")</f>
        <v/>
      </c>
    </row>
    <row r="28" spans="1:7" s="5" customFormat="1" ht="6.75" customHeight="1" x14ac:dyDescent="0.2">
      <c r="A28" s="8"/>
      <c r="B28" s="4"/>
      <c r="C28" s="4"/>
      <c r="D28" s="4"/>
      <c r="F28" s="4"/>
      <c r="G28" s="4"/>
    </row>
    <row r="29" spans="1:7" x14ac:dyDescent="0.2">
      <c r="A29" s="21" t="s">
        <v>264</v>
      </c>
      <c r="B29" s="20">
        <f>B16+B26</f>
        <v>956247.9800000001</v>
      </c>
      <c r="C29" s="20">
        <f>C16+C26</f>
        <v>938879.30999999994</v>
      </c>
      <c r="D29" s="20" t="e">
        <f>D16+D26</f>
        <v>#REF!</v>
      </c>
      <c r="F29" s="20">
        <f t="shared" ref="F29:G29" si="11">F16+F26</f>
        <v>-17368.670000000151</v>
      </c>
      <c r="G29" s="20" t="e">
        <f t="shared" si="11"/>
        <v>#REF!</v>
      </c>
    </row>
    <row r="30" spans="1:7" x14ac:dyDescent="0.2">
      <c r="F30" s="62">
        <f>IFERROR(C29/B29-1,"")</f>
        <v>-1.8163353401280058E-2</v>
      </c>
      <c r="G30" s="62" t="str">
        <f>IFERROR(D29/C29-1,"")</f>
        <v/>
      </c>
    </row>
    <row r="31" spans="1:7" x14ac:dyDescent="0.2">
      <c r="A31" s="8" t="s">
        <v>314</v>
      </c>
      <c r="B31" s="4"/>
      <c r="C31" s="4"/>
      <c r="D31" s="4"/>
      <c r="F31" s="4"/>
    </row>
    <row r="32" spans="1:7" x14ac:dyDescent="0.2">
      <c r="A32" s="9" t="s">
        <v>276</v>
      </c>
      <c r="B32" s="10">
        <v>133150.75</v>
      </c>
      <c r="C32" s="10">
        <v>208877</v>
      </c>
      <c r="D32" s="10" t="e">
        <f>VLOOKUP(A32,#REF!,15,0)</f>
        <v>#REF!</v>
      </c>
      <c r="F32" s="10">
        <f t="shared" ref="F32:F34" si="12">C32-B32</f>
        <v>75726.25</v>
      </c>
      <c r="G32" s="10" t="e">
        <f t="shared" ref="G32:G34" si="13">D32-C32</f>
        <v>#REF!</v>
      </c>
    </row>
    <row r="33" spans="1:7" x14ac:dyDescent="0.2">
      <c r="A33" s="13" t="s">
        <v>312</v>
      </c>
      <c r="B33" s="10">
        <v>-123548.32</v>
      </c>
      <c r="C33" s="10">
        <v>-199286.56299999999</v>
      </c>
      <c r="D33" s="10" t="e">
        <f>VLOOKUP(A33,#REF!,15,0)</f>
        <v>#REF!</v>
      </c>
      <c r="F33" s="10">
        <f t="shared" si="12"/>
        <v>-75738.242999999988</v>
      </c>
      <c r="G33" s="10" t="e">
        <f t="shared" si="13"/>
        <v>#REF!</v>
      </c>
    </row>
    <row r="34" spans="1:7" x14ac:dyDescent="0.2">
      <c r="A34" s="13" t="s">
        <v>165</v>
      </c>
      <c r="B34" s="10">
        <v>0</v>
      </c>
      <c r="C34" s="10">
        <v>-1151.1299999999999</v>
      </c>
      <c r="D34" s="10">
        <v>0</v>
      </c>
      <c r="F34" s="10">
        <f t="shared" si="12"/>
        <v>-1151.1299999999999</v>
      </c>
      <c r="G34" s="10">
        <f t="shared" si="13"/>
        <v>1151.1299999999999</v>
      </c>
    </row>
    <row r="35" spans="1:7" x14ac:dyDescent="0.2">
      <c r="A35" s="15" t="s">
        <v>323</v>
      </c>
      <c r="B35" s="16">
        <f>SUM(B32:B34)</f>
        <v>9602.429999999993</v>
      </c>
      <c r="C35" s="16">
        <f>SUM(C32:C34)</f>
        <v>8439.3070000000062</v>
      </c>
      <c r="D35" s="16" t="e">
        <f>SUM(D32:D34)</f>
        <v>#REF!</v>
      </c>
      <c r="F35" s="16">
        <f t="shared" ref="F35:G35" si="14">SUM(F32:F34)</f>
        <v>-1163.1229999999875</v>
      </c>
      <c r="G35" s="16" t="e">
        <f t="shared" si="14"/>
        <v>#REF!</v>
      </c>
    </row>
    <row r="36" spans="1:7" x14ac:dyDescent="0.2">
      <c r="F36" s="62">
        <f>IFERROR(C35/B35-1,"")</f>
        <v>-0.12112798531204994</v>
      </c>
      <c r="G36" s="62" t="str">
        <f>IFERROR(D35/C35-1,"")</f>
        <v/>
      </c>
    </row>
  </sheetData>
  <mergeCells count="2">
    <mergeCell ref="A1:G1"/>
    <mergeCell ref="F3:G3"/>
  </mergeCells>
  <printOptions horizontalCentered="1"/>
  <pageMargins left="0.51181102362204722" right="0.51181102362204722" top="1.3779527559055118" bottom="0.78740157480314965" header="0.78740157480314965" footer="0.31496062992125984"/>
  <pageSetup paperSize="9" scale="110" orientation="landscape" horizontalDpi="1200" verticalDpi="1200" r:id="rId1"/>
  <headerFooter>
    <oddHeader>&amp;C&amp;"-,Negrito"&amp;28ASSOCIAÇÃO DAS IGREJAS DA OBRA REGIONAL - REGIÃO 06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I25"/>
  <sheetViews>
    <sheetView showGridLines="0" topLeftCell="A2" workbookViewId="0">
      <selection activeCell="L16" sqref="L16"/>
    </sheetView>
  </sheetViews>
  <sheetFormatPr defaultRowHeight="12.75" x14ac:dyDescent="0.2"/>
  <cols>
    <col min="1" max="1" width="45" style="12" customWidth="1"/>
    <col min="2" max="2" width="9.28515625" style="12" customWidth="1"/>
    <col min="3" max="4" width="8.85546875" style="12" customWidth="1"/>
    <col min="5" max="5" width="2.140625" style="12" customWidth="1"/>
    <col min="6" max="6" width="9.7109375" style="12" customWidth="1"/>
    <col min="7" max="7" width="9.7109375" style="58" customWidth="1"/>
    <col min="8" max="245" width="9.140625" style="12"/>
    <col min="246" max="246" width="34.28515625" style="12" customWidth="1"/>
    <col min="247" max="254" width="10" style="12" bestFit="1" customWidth="1"/>
    <col min="255" max="255" width="10" style="12" customWidth="1"/>
    <col min="256" max="258" width="0" style="12" hidden="1" customWidth="1"/>
    <col min="259" max="259" width="2.140625" style="12" customWidth="1"/>
    <col min="260" max="260" width="11" style="12" bestFit="1" customWidth="1"/>
    <col min="261" max="261" width="3.85546875" style="12" customWidth="1"/>
    <col min="262" max="262" width="11.85546875" style="12" bestFit="1" customWidth="1"/>
    <col min="263" max="263" width="6.28515625" style="12" bestFit="1" customWidth="1"/>
    <col min="264" max="501" width="9.140625" style="12"/>
    <col min="502" max="502" width="34.28515625" style="12" customWidth="1"/>
    <col min="503" max="510" width="10" style="12" bestFit="1" customWidth="1"/>
    <col min="511" max="511" width="10" style="12" customWidth="1"/>
    <col min="512" max="514" width="0" style="12" hidden="1" customWidth="1"/>
    <col min="515" max="515" width="2.140625" style="12" customWidth="1"/>
    <col min="516" max="516" width="11" style="12" bestFit="1" customWidth="1"/>
    <col min="517" max="517" width="3.85546875" style="12" customWidth="1"/>
    <col min="518" max="518" width="11.85546875" style="12" bestFit="1" customWidth="1"/>
    <col min="519" max="519" width="6.28515625" style="12" bestFit="1" customWidth="1"/>
    <col min="520" max="757" width="9.140625" style="12"/>
    <col min="758" max="758" width="34.28515625" style="12" customWidth="1"/>
    <col min="759" max="766" width="10" style="12" bestFit="1" customWidth="1"/>
    <col min="767" max="767" width="10" style="12" customWidth="1"/>
    <col min="768" max="770" width="0" style="12" hidden="1" customWidth="1"/>
    <col min="771" max="771" width="2.140625" style="12" customWidth="1"/>
    <col min="772" max="772" width="11" style="12" bestFit="1" customWidth="1"/>
    <col min="773" max="773" width="3.85546875" style="12" customWidth="1"/>
    <col min="774" max="774" width="11.85546875" style="12" bestFit="1" customWidth="1"/>
    <col min="775" max="775" width="6.28515625" style="12" bestFit="1" customWidth="1"/>
    <col min="776" max="1013" width="9.140625" style="12"/>
    <col min="1014" max="1014" width="34.28515625" style="12" customWidth="1"/>
    <col min="1015" max="1022" width="10" style="12" bestFit="1" customWidth="1"/>
    <col min="1023" max="1023" width="10" style="12" customWidth="1"/>
    <col min="1024" max="1026" width="0" style="12" hidden="1" customWidth="1"/>
    <col min="1027" max="1027" width="2.140625" style="12" customWidth="1"/>
    <col min="1028" max="1028" width="11" style="12" bestFit="1" customWidth="1"/>
    <col min="1029" max="1029" width="3.85546875" style="12" customWidth="1"/>
    <col min="1030" max="1030" width="11.85546875" style="12" bestFit="1" customWidth="1"/>
    <col min="1031" max="1031" width="6.28515625" style="12" bestFit="1" customWidth="1"/>
    <col min="1032" max="1269" width="9.140625" style="12"/>
    <col min="1270" max="1270" width="34.28515625" style="12" customWidth="1"/>
    <col min="1271" max="1278" width="10" style="12" bestFit="1" customWidth="1"/>
    <col min="1279" max="1279" width="10" style="12" customWidth="1"/>
    <col min="1280" max="1282" width="0" style="12" hidden="1" customWidth="1"/>
    <col min="1283" max="1283" width="2.140625" style="12" customWidth="1"/>
    <col min="1284" max="1284" width="11" style="12" bestFit="1" customWidth="1"/>
    <col min="1285" max="1285" width="3.85546875" style="12" customWidth="1"/>
    <col min="1286" max="1286" width="11.85546875" style="12" bestFit="1" customWidth="1"/>
    <col min="1287" max="1287" width="6.28515625" style="12" bestFit="1" customWidth="1"/>
    <col min="1288" max="1525" width="9.140625" style="12"/>
    <col min="1526" max="1526" width="34.28515625" style="12" customWidth="1"/>
    <col min="1527" max="1534" width="10" style="12" bestFit="1" customWidth="1"/>
    <col min="1535" max="1535" width="10" style="12" customWidth="1"/>
    <col min="1536" max="1538" width="0" style="12" hidden="1" customWidth="1"/>
    <col min="1539" max="1539" width="2.140625" style="12" customWidth="1"/>
    <col min="1540" max="1540" width="11" style="12" bestFit="1" customWidth="1"/>
    <col min="1541" max="1541" width="3.85546875" style="12" customWidth="1"/>
    <col min="1542" max="1542" width="11.85546875" style="12" bestFit="1" customWidth="1"/>
    <col min="1543" max="1543" width="6.28515625" style="12" bestFit="1" customWidth="1"/>
    <col min="1544" max="1781" width="9.140625" style="12"/>
    <col min="1782" max="1782" width="34.28515625" style="12" customWidth="1"/>
    <col min="1783" max="1790" width="10" style="12" bestFit="1" customWidth="1"/>
    <col min="1791" max="1791" width="10" style="12" customWidth="1"/>
    <col min="1792" max="1794" width="0" style="12" hidden="1" customWidth="1"/>
    <col min="1795" max="1795" width="2.140625" style="12" customWidth="1"/>
    <col min="1796" max="1796" width="11" style="12" bestFit="1" customWidth="1"/>
    <col min="1797" max="1797" width="3.85546875" style="12" customWidth="1"/>
    <col min="1798" max="1798" width="11.85546875" style="12" bestFit="1" customWidth="1"/>
    <col min="1799" max="1799" width="6.28515625" style="12" bestFit="1" customWidth="1"/>
    <col min="1800" max="2037" width="9.140625" style="12"/>
    <col min="2038" max="2038" width="34.28515625" style="12" customWidth="1"/>
    <col min="2039" max="2046" width="10" style="12" bestFit="1" customWidth="1"/>
    <col min="2047" max="2047" width="10" style="12" customWidth="1"/>
    <col min="2048" max="2050" width="0" style="12" hidden="1" customWidth="1"/>
    <col min="2051" max="2051" width="2.140625" style="12" customWidth="1"/>
    <col min="2052" max="2052" width="11" style="12" bestFit="1" customWidth="1"/>
    <col min="2053" max="2053" width="3.85546875" style="12" customWidth="1"/>
    <col min="2054" max="2054" width="11.85546875" style="12" bestFit="1" customWidth="1"/>
    <col min="2055" max="2055" width="6.28515625" style="12" bestFit="1" customWidth="1"/>
    <col min="2056" max="2293" width="9.140625" style="12"/>
    <col min="2294" max="2294" width="34.28515625" style="12" customWidth="1"/>
    <col min="2295" max="2302" width="10" style="12" bestFit="1" customWidth="1"/>
    <col min="2303" max="2303" width="10" style="12" customWidth="1"/>
    <col min="2304" max="2306" width="0" style="12" hidden="1" customWidth="1"/>
    <col min="2307" max="2307" width="2.140625" style="12" customWidth="1"/>
    <col min="2308" max="2308" width="11" style="12" bestFit="1" customWidth="1"/>
    <col min="2309" max="2309" width="3.85546875" style="12" customWidth="1"/>
    <col min="2310" max="2310" width="11.85546875" style="12" bestFit="1" customWidth="1"/>
    <col min="2311" max="2311" width="6.28515625" style="12" bestFit="1" customWidth="1"/>
    <col min="2312" max="2549" width="9.140625" style="12"/>
    <col min="2550" max="2550" width="34.28515625" style="12" customWidth="1"/>
    <col min="2551" max="2558" width="10" style="12" bestFit="1" customWidth="1"/>
    <col min="2559" max="2559" width="10" style="12" customWidth="1"/>
    <col min="2560" max="2562" width="0" style="12" hidden="1" customWidth="1"/>
    <col min="2563" max="2563" width="2.140625" style="12" customWidth="1"/>
    <col min="2564" max="2564" width="11" style="12" bestFit="1" customWidth="1"/>
    <col min="2565" max="2565" width="3.85546875" style="12" customWidth="1"/>
    <col min="2566" max="2566" width="11.85546875" style="12" bestFit="1" customWidth="1"/>
    <col min="2567" max="2567" width="6.28515625" style="12" bestFit="1" customWidth="1"/>
    <col min="2568" max="2805" width="9.140625" style="12"/>
    <col min="2806" max="2806" width="34.28515625" style="12" customWidth="1"/>
    <col min="2807" max="2814" width="10" style="12" bestFit="1" customWidth="1"/>
    <col min="2815" max="2815" width="10" style="12" customWidth="1"/>
    <col min="2816" max="2818" width="0" style="12" hidden="1" customWidth="1"/>
    <col min="2819" max="2819" width="2.140625" style="12" customWidth="1"/>
    <col min="2820" max="2820" width="11" style="12" bestFit="1" customWidth="1"/>
    <col min="2821" max="2821" width="3.85546875" style="12" customWidth="1"/>
    <col min="2822" max="2822" width="11.85546875" style="12" bestFit="1" customWidth="1"/>
    <col min="2823" max="2823" width="6.28515625" style="12" bestFit="1" customWidth="1"/>
    <col min="2824" max="3061" width="9.140625" style="12"/>
    <col min="3062" max="3062" width="34.28515625" style="12" customWidth="1"/>
    <col min="3063" max="3070" width="10" style="12" bestFit="1" customWidth="1"/>
    <col min="3071" max="3071" width="10" style="12" customWidth="1"/>
    <col min="3072" max="3074" width="0" style="12" hidden="1" customWidth="1"/>
    <col min="3075" max="3075" width="2.140625" style="12" customWidth="1"/>
    <col min="3076" max="3076" width="11" style="12" bestFit="1" customWidth="1"/>
    <col min="3077" max="3077" width="3.85546875" style="12" customWidth="1"/>
    <col min="3078" max="3078" width="11.85546875" style="12" bestFit="1" customWidth="1"/>
    <col min="3079" max="3079" width="6.28515625" style="12" bestFit="1" customWidth="1"/>
    <col min="3080" max="3317" width="9.140625" style="12"/>
    <col min="3318" max="3318" width="34.28515625" style="12" customWidth="1"/>
    <col min="3319" max="3326" width="10" style="12" bestFit="1" customWidth="1"/>
    <col min="3327" max="3327" width="10" style="12" customWidth="1"/>
    <col min="3328" max="3330" width="0" style="12" hidden="1" customWidth="1"/>
    <col min="3331" max="3331" width="2.140625" style="12" customWidth="1"/>
    <col min="3332" max="3332" width="11" style="12" bestFit="1" customWidth="1"/>
    <col min="3333" max="3333" width="3.85546875" style="12" customWidth="1"/>
    <col min="3334" max="3334" width="11.85546875" style="12" bestFit="1" customWidth="1"/>
    <col min="3335" max="3335" width="6.28515625" style="12" bestFit="1" customWidth="1"/>
    <col min="3336" max="3573" width="9.140625" style="12"/>
    <col min="3574" max="3574" width="34.28515625" style="12" customWidth="1"/>
    <col min="3575" max="3582" width="10" style="12" bestFit="1" customWidth="1"/>
    <col min="3583" max="3583" width="10" style="12" customWidth="1"/>
    <col min="3584" max="3586" width="0" style="12" hidden="1" customWidth="1"/>
    <col min="3587" max="3587" width="2.140625" style="12" customWidth="1"/>
    <col min="3588" max="3588" width="11" style="12" bestFit="1" customWidth="1"/>
    <col min="3589" max="3589" width="3.85546875" style="12" customWidth="1"/>
    <col min="3590" max="3590" width="11.85546875" style="12" bestFit="1" customWidth="1"/>
    <col min="3591" max="3591" width="6.28515625" style="12" bestFit="1" customWidth="1"/>
    <col min="3592" max="3829" width="9.140625" style="12"/>
    <col min="3830" max="3830" width="34.28515625" style="12" customWidth="1"/>
    <col min="3831" max="3838" width="10" style="12" bestFit="1" customWidth="1"/>
    <col min="3839" max="3839" width="10" style="12" customWidth="1"/>
    <col min="3840" max="3842" width="0" style="12" hidden="1" customWidth="1"/>
    <col min="3843" max="3843" width="2.140625" style="12" customWidth="1"/>
    <col min="3844" max="3844" width="11" style="12" bestFit="1" customWidth="1"/>
    <col min="3845" max="3845" width="3.85546875" style="12" customWidth="1"/>
    <col min="3846" max="3846" width="11.85546875" style="12" bestFit="1" customWidth="1"/>
    <col min="3847" max="3847" width="6.28515625" style="12" bestFit="1" customWidth="1"/>
    <col min="3848" max="4085" width="9.140625" style="12"/>
    <col min="4086" max="4086" width="34.28515625" style="12" customWidth="1"/>
    <col min="4087" max="4094" width="10" style="12" bestFit="1" customWidth="1"/>
    <col min="4095" max="4095" width="10" style="12" customWidth="1"/>
    <col min="4096" max="4098" width="0" style="12" hidden="1" customWidth="1"/>
    <col min="4099" max="4099" width="2.140625" style="12" customWidth="1"/>
    <col min="4100" max="4100" width="11" style="12" bestFit="1" customWidth="1"/>
    <col min="4101" max="4101" width="3.85546875" style="12" customWidth="1"/>
    <col min="4102" max="4102" width="11.85546875" style="12" bestFit="1" customWidth="1"/>
    <col min="4103" max="4103" width="6.28515625" style="12" bestFit="1" customWidth="1"/>
    <col min="4104" max="4341" width="9.140625" style="12"/>
    <col min="4342" max="4342" width="34.28515625" style="12" customWidth="1"/>
    <col min="4343" max="4350" width="10" style="12" bestFit="1" customWidth="1"/>
    <col min="4351" max="4351" width="10" style="12" customWidth="1"/>
    <col min="4352" max="4354" width="0" style="12" hidden="1" customWidth="1"/>
    <col min="4355" max="4355" width="2.140625" style="12" customWidth="1"/>
    <col min="4356" max="4356" width="11" style="12" bestFit="1" customWidth="1"/>
    <col min="4357" max="4357" width="3.85546875" style="12" customWidth="1"/>
    <col min="4358" max="4358" width="11.85546875" style="12" bestFit="1" customWidth="1"/>
    <col min="4359" max="4359" width="6.28515625" style="12" bestFit="1" customWidth="1"/>
    <col min="4360" max="4597" width="9.140625" style="12"/>
    <col min="4598" max="4598" width="34.28515625" style="12" customWidth="1"/>
    <col min="4599" max="4606" width="10" style="12" bestFit="1" customWidth="1"/>
    <col min="4607" max="4607" width="10" style="12" customWidth="1"/>
    <col min="4608" max="4610" width="0" style="12" hidden="1" customWidth="1"/>
    <col min="4611" max="4611" width="2.140625" style="12" customWidth="1"/>
    <col min="4612" max="4612" width="11" style="12" bestFit="1" customWidth="1"/>
    <col min="4613" max="4613" width="3.85546875" style="12" customWidth="1"/>
    <col min="4614" max="4614" width="11.85546875" style="12" bestFit="1" customWidth="1"/>
    <col min="4615" max="4615" width="6.28515625" style="12" bestFit="1" customWidth="1"/>
    <col min="4616" max="4853" width="9.140625" style="12"/>
    <col min="4854" max="4854" width="34.28515625" style="12" customWidth="1"/>
    <col min="4855" max="4862" width="10" style="12" bestFit="1" customWidth="1"/>
    <col min="4863" max="4863" width="10" style="12" customWidth="1"/>
    <col min="4864" max="4866" width="0" style="12" hidden="1" customWidth="1"/>
    <col min="4867" max="4867" width="2.140625" style="12" customWidth="1"/>
    <col min="4868" max="4868" width="11" style="12" bestFit="1" customWidth="1"/>
    <col min="4869" max="4869" width="3.85546875" style="12" customWidth="1"/>
    <col min="4870" max="4870" width="11.85546875" style="12" bestFit="1" customWidth="1"/>
    <col min="4871" max="4871" width="6.28515625" style="12" bestFit="1" customWidth="1"/>
    <col min="4872" max="5109" width="9.140625" style="12"/>
    <col min="5110" max="5110" width="34.28515625" style="12" customWidth="1"/>
    <col min="5111" max="5118" width="10" style="12" bestFit="1" customWidth="1"/>
    <col min="5119" max="5119" width="10" style="12" customWidth="1"/>
    <col min="5120" max="5122" width="0" style="12" hidden="1" customWidth="1"/>
    <col min="5123" max="5123" width="2.140625" style="12" customWidth="1"/>
    <col min="5124" max="5124" width="11" style="12" bestFit="1" customWidth="1"/>
    <col min="5125" max="5125" width="3.85546875" style="12" customWidth="1"/>
    <col min="5126" max="5126" width="11.85546875" style="12" bestFit="1" customWidth="1"/>
    <col min="5127" max="5127" width="6.28515625" style="12" bestFit="1" customWidth="1"/>
    <col min="5128" max="5365" width="9.140625" style="12"/>
    <col min="5366" max="5366" width="34.28515625" style="12" customWidth="1"/>
    <col min="5367" max="5374" width="10" style="12" bestFit="1" customWidth="1"/>
    <col min="5375" max="5375" width="10" style="12" customWidth="1"/>
    <col min="5376" max="5378" width="0" style="12" hidden="1" customWidth="1"/>
    <col min="5379" max="5379" width="2.140625" style="12" customWidth="1"/>
    <col min="5380" max="5380" width="11" style="12" bestFit="1" customWidth="1"/>
    <col min="5381" max="5381" width="3.85546875" style="12" customWidth="1"/>
    <col min="5382" max="5382" width="11.85546875" style="12" bestFit="1" customWidth="1"/>
    <col min="5383" max="5383" width="6.28515625" style="12" bestFit="1" customWidth="1"/>
    <col min="5384" max="5621" width="9.140625" style="12"/>
    <col min="5622" max="5622" width="34.28515625" style="12" customWidth="1"/>
    <col min="5623" max="5630" width="10" style="12" bestFit="1" customWidth="1"/>
    <col min="5631" max="5631" width="10" style="12" customWidth="1"/>
    <col min="5632" max="5634" width="0" style="12" hidden="1" customWidth="1"/>
    <col min="5635" max="5635" width="2.140625" style="12" customWidth="1"/>
    <col min="5636" max="5636" width="11" style="12" bestFit="1" customWidth="1"/>
    <col min="5637" max="5637" width="3.85546875" style="12" customWidth="1"/>
    <col min="5638" max="5638" width="11.85546875" style="12" bestFit="1" customWidth="1"/>
    <col min="5639" max="5639" width="6.28515625" style="12" bestFit="1" customWidth="1"/>
    <col min="5640" max="5877" width="9.140625" style="12"/>
    <col min="5878" max="5878" width="34.28515625" style="12" customWidth="1"/>
    <col min="5879" max="5886" width="10" style="12" bestFit="1" customWidth="1"/>
    <col min="5887" max="5887" width="10" style="12" customWidth="1"/>
    <col min="5888" max="5890" width="0" style="12" hidden="1" customWidth="1"/>
    <col min="5891" max="5891" width="2.140625" style="12" customWidth="1"/>
    <col min="5892" max="5892" width="11" style="12" bestFit="1" customWidth="1"/>
    <col min="5893" max="5893" width="3.85546875" style="12" customWidth="1"/>
    <col min="5894" max="5894" width="11.85546875" style="12" bestFit="1" customWidth="1"/>
    <col min="5895" max="5895" width="6.28515625" style="12" bestFit="1" customWidth="1"/>
    <col min="5896" max="6133" width="9.140625" style="12"/>
    <col min="6134" max="6134" width="34.28515625" style="12" customWidth="1"/>
    <col min="6135" max="6142" width="10" style="12" bestFit="1" customWidth="1"/>
    <col min="6143" max="6143" width="10" style="12" customWidth="1"/>
    <col min="6144" max="6146" width="0" style="12" hidden="1" customWidth="1"/>
    <col min="6147" max="6147" width="2.140625" style="12" customWidth="1"/>
    <col min="6148" max="6148" width="11" style="12" bestFit="1" customWidth="1"/>
    <col min="6149" max="6149" width="3.85546875" style="12" customWidth="1"/>
    <col min="6150" max="6150" width="11.85546875" style="12" bestFit="1" customWidth="1"/>
    <col min="6151" max="6151" width="6.28515625" style="12" bestFit="1" customWidth="1"/>
    <col min="6152" max="6389" width="9.140625" style="12"/>
    <col min="6390" max="6390" width="34.28515625" style="12" customWidth="1"/>
    <col min="6391" max="6398" width="10" style="12" bestFit="1" customWidth="1"/>
    <col min="6399" max="6399" width="10" style="12" customWidth="1"/>
    <col min="6400" max="6402" width="0" style="12" hidden="1" customWidth="1"/>
    <col min="6403" max="6403" width="2.140625" style="12" customWidth="1"/>
    <col min="6404" max="6404" width="11" style="12" bestFit="1" customWidth="1"/>
    <col min="6405" max="6405" width="3.85546875" style="12" customWidth="1"/>
    <col min="6406" max="6406" width="11.85546875" style="12" bestFit="1" customWidth="1"/>
    <col min="6407" max="6407" width="6.28515625" style="12" bestFit="1" customWidth="1"/>
    <col min="6408" max="6645" width="9.140625" style="12"/>
    <col min="6646" max="6646" width="34.28515625" style="12" customWidth="1"/>
    <col min="6647" max="6654" width="10" style="12" bestFit="1" customWidth="1"/>
    <col min="6655" max="6655" width="10" style="12" customWidth="1"/>
    <col min="6656" max="6658" width="0" style="12" hidden="1" customWidth="1"/>
    <col min="6659" max="6659" width="2.140625" style="12" customWidth="1"/>
    <col min="6660" max="6660" width="11" style="12" bestFit="1" customWidth="1"/>
    <col min="6661" max="6661" width="3.85546875" style="12" customWidth="1"/>
    <col min="6662" max="6662" width="11.85546875" style="12" bestFit="1" customWidth="1"/>
    <col min="6663" max="6663" width="6.28515625" style="12" bestFit="1" customWidth="1"/>
    <col min="6664" max="6901" width="9.140625" style="12"/>
    <col min="6902" max="6902" width="34.28515625" style="12" customWidth="1"/>
    <col min="6903" max="6910" width="10" style="12" bestFit="1" customWidth="1"/>
    <col min="6911" max="6911" width="10" style="12" customWidth="1"/>
    <col min="6912" max="6914" width="0" style="12" hidden="1" customWidth="1"/>
    <col min="6915" max="6915" width="2.140625" style="12" customWidth="1"/>
    <col min="6916" max="6916" width="11" style="12" bestFit="1" customWidth="1"/>
    <col min="6917" max="6917" width="3.85546875" style="12" customWidth="1"/>
    <col min="6918" max="6918" width="11.85546875" style="12" bestFit="1" customWidth="1"/>
    <col min="6919" max="6919" width="6.28515625" style="12" bestFit="1" customWidth="1"/>
    <col min="6920" max="7157" width="9.140625" style="12"/>
    <col min="7158" max="7158" width="34.28515625" style="12" customWidth="1"/>
    <col min="7159" max="7166" width="10" style="12" bestFit="1" customWidth="1"/>
    <col min="7167" max="7167" width="10" style="12" customWidth="1"/>
    <col min="7168" max="7170" width="0" style="12" hidden="1" customWidth="1"/>
    <col min="7171" max="7171" width="2.140625" style="12" customWidth="1"/>
    <col min="7172" max="7172" width="11" style="12" bestFit="1" customWidth="1"/>
    <col min="7173" max="7173" width="3.85546875" style="12" customWidth="1"/>
    <col min="7174" max="7174" width="11.85546875" style="12" bestFit="1" customWidth="1"/>
    <col min="7175" max="7175" width="6.28515625" style="12" bestFit="1" customWidth="1"/>
    <col min="7176" max="7413" width="9.140625" style="12"/>
    <col min="7414" max="7414" width="34.28515625" style="12" customWidth="1"/>
    <col min="7415" max="7422" width="10" style="12" bestFit="1" customWidth="1"/>
    <col min="7423" max="7423" width="10" style="12" customWidth="1"/>
    <col min="7424" max="7426" width="0" style="12" hidden="1" customWidth="1"/>
    <col min="7427" max="7427" width="2.140625" style="12" customWidth="1"/>
    <col min="7428" max="7428" width="11" style="12" bestFit="1" customWidth="1"/>
    <col min="7429" max="7429" width="3.85546875" style="12" customWidth="1"/>
    <col min="7430" max="7430" width="11.85546875" style="12" bestFit="1" customWidth="1"/>
    <col min="7431" max="7431" width="6.28515625" style="12" bestFit="1" customWidth="1"/>
    <col min="7432" max="7669" width="9.140625" style="12"/>
    <col min="7670" max="7670" width="34.28515625" style="12" customWidth="1"/>
    <col min="7671" max="7678" width="10" style="12" bestFit="1" customWidth="1"/>
    <col min="7679" max="7679" width="10" style="12" customWidth="1"/>
    <col min="7680" max="7682" width="0" style="12" hidden="1" customWidth="1"/>
    <col min="7683" max="7683" width="2.140625" style="12" customWidth="1"/>
    <col min="7684" max="7684" width="11" style="12" bestFit="1" customWidth="1"/>
    <col min="7685" max="7685" width="3.85546875" style="12" customWidth="1"/>
    <col min="7686" max="7686" width="11.85546875" style="12" bestFit="1" customWidth="1"/>
    <col min="7687" max="7687" width="6.28515625" style="12" bestFit="1" customWidth="1"/>
    <col min="7688" max="7925" width="9.140625" style="12"/>
    <col min="7926" max="7926" width="34.28515625" style="12" customWidth="1"/>
    <col min="7927" max="7934" width="10" style="12" bestFit="1" customWidth="1"/>
    <col min="7935" max="7935" width="10" style="12" customWidth="1"/>
    <col min="7936" max="7938" width="0" style="12" hidden="1" customWidth="1"/>
    <col min="7939" max="7939" width="2.140625" style="12" customWidth="1"/>
    <col min="7940" max="7940" width="11" style="12" bestFit="1" customWidth="1"/>
    <col min="7941" max="7941" width="3.85546875" style="12" customWidth="1"/>
    <col min="7942" max="7942" width="11.85546875" style="12" bestFit="1" customWidth="1"/>
    <col min="7943" max="7943" width="6.28515625" style="12" bestFit="1" customWidth="1"/>
    <col min="7944" max="8181" width="9.140625" style="12"/>
    <col min="8182" max="8182" width="34.28515625" style="12" customWidth="1"/>
    <col min="8183" max="8190" width="10" style="12" bestFit="1" customWidth="1"/>
    <col min="8191" max="8191" width="10" style="12" customWidth="1"/>
    <col min="8192" max="8194" width="0" style="12" hidden="1" customWidth="1"/>
    <col min="8195" max="8195" width="2.140625" style="12" customWidth="1"/>
    <col min="8196" max="8196" width="11" style="12" bestFit="1" customWidth="1"/>
    <col min="8197" max="8197" width="3.85546875" style="12" customWidth="1"/>
    <col min="8198" max="8198" width="11.85546875" style="12" bestFit="1" customWidth="1"/>
    <col min="8199" max="8199" width="6.28515625" style="12" bestFit="1" customWidth="1"/>
    <col min="8200" max="8437" width="9.140625" style="12"/>
    <col min="8438" max="8438" width="34.28515625" style="12" customWidth="1"/>
    <col min="8439" max="8446" width="10" style="12" bestFit="1" customWidth="1"/>
    <col min="8447" max="8447" width="10" style="12" customWidth="1"/>
    <col min="8448" max="8450" width="0" style="12" hidden="1" customWidth="1"/>
    <col min="8451" max="8451" width="2.140625" style="12" customWidth="1"/>
    <col min="8452" max="8452" width="11" style="12" bestFit="1" customWidth="1"/>
    <col min="8453" max="8453" width="3.85546875" style="12" customWidth="1"/>
    <col min="8454" max="8454" width="11.85546875" style="12" bestFit="1" customWidth="1"/>
    <col min="8455" max="8455" width="6.28515625" style="12" bestFit="1" customWidth="1"/>
    <col min="8456" max="8693" width="9.140625" style="12"/>
    <col min="8694" max="8694" width="34.28515625" style="12" customWidth="1"/>
    <col min="8695" max="8702" width="10" style="12" bestFit="1" customWidth="1"/>
    <col min="8703" max="8703" width="10" style="12" customWidth="1"/>
    <col min="8704" max="8706" width="0" style="12" hidden="1" customWidth="1"/>
    <col min="8707" max="8707" width="2.140625" style="12" customWidth="1"/>
    <col min="8708" max="8708" width="11" style="12" bestFit="1" customWidth="1"/>
    <col min="8709" max="8709" width="3.85546875" style="12" customWidth="1"/>
    <col min="8710" max="8710" width="11.85546875" style="12" bestFit="1" customWidth="1"/>
    <col min="8711" max="8711" width="6.28515625" style="12" bestFit="1" customWidth="1"/>
    <col min="8712" max="8949" width="9.140625" style="12"/>
    <col min="8950" max="8950" width="34.28515625" style="12" customWidth="1"/>
    <col min="8951" max="8958" width="10" style="12" bestFit="1" customWidth="1"/>
    <col min="8959" max="8959" width="10" style="12" customWidth="1"/>
    <col min="8960" max="8962" width="0" style="12" hidden="1" customWidth="1"/>
    <col min="8963" max="8963" width="2.140625" style="12" customWidth="1"/>
    <col min="8964" max="8964" width="11" style="12" bestFit="1" customWidth="1"/>
    <col min="8965" max="8965" width="3.85546875" style="12" customWidth="1"/>
    <col min="8966" max="8966" width="11.85546875" style="12" bestFit="1" customWidth="1"/>
    <col min="8967" max="8967" width="6.28515625" style="12" bestFit="1" customWidth="1"/>
    <col min="8968" max="9205" width="9.140625" style="12"/>
    <col min="9206" max="9206" width="34.28515625" style="12" customWidth="1"/>
    <col min="9207" max="9214" width="10" style="12" bestFit="1" customWidth="1"/>
    <col min="9215" max="9215" width="10" style="12" customWidth="1"/>
    <col min="9216" max="9218" width="0" style="12" hidden="1" customWidth="1"/>
    <col min="9219" max="9219" width="2.140625" style="12" customWidth="1"/>
    <col min="9220" max="9220" width="11" style="12" bestFit="1" customWidth="1"/>
    <col min="9221" max="9221" width="3.85546875" style="12" customWidth="1"/>
    <col min="9222" max="9222" width="11.85546875" style="12" bestFit="1" customWidth="1"/>
    <col min="9223" max="9223" width="6.28515625" style="12" bestFit="1" customWidth="1"/>
    <col min="9224" max="9461" width="9.140625" style="12"/>
    <col min="9462" max="9462" width="34.28515625" style="12" customWidth="1"/>
    <col min="9463" max="9470" width="10" style="12" bestFit="1" customWidth="1"/>
    <col min="9471" max="9471" width="10" style="12" customWidth="1"/>
    <col min="9472" max="9474" width="0" style="12" hidden="1" customWidth="1"/>
    <col min="9475" max="9475" width="2.140625" style="12" customWidth="1"/>
    <col min="9476" max="9476" width="11" style="12" bestFit="1" customWidth="1"/>
    <col min="9477" max="9477" width="3.85546875" style="12" customWidth="1"/>
    <col min="9478" max="9478" width="11.85546875" style="12" bestFit="1" customWidth="1"/>
    <col min="9479" max="9479" width="6.28515625" style="12" bestFit="1" customWidth="1"/>
    <col min="9480" max="9717" width="9.140625" style="12"/>
    <col min="9718" max="9718" width="34.28515625" style="12" customWidth="1"/>
    <col min="9719" max="9726" width="10" style="12" bestFit="1" customWidth="1"/>
    <col min="9727" max="9727" width="10" style="12" customWidth="1"/>
    <col min="9728" max="9730" width="0" style="12" hidden="1" customWidth="1"/>
    <col min="9731" max="9731" width="2.140625" style="12" customWidth="1"/>
    <col min="9732" max="9732" width="11" style="12" bestFit="1" customWidth="1"/>
    <col min="9733" max="9733" width="3.85546875" style="12" customWidth="1"/>
    <col min="9734" max="9734" width="11.85546875" style="12" bestFit="1" customWidth="1"/>
    <col min="9735" max="9735" width="6.28515625" style="12" bestFit="1" customWidth="1"/>
    <col min="9736" max="9973" width="9.140625" style="12"/>
    <col min="9974" max="9974" width="34.28515625" style="12" customWidth="1"/>
    <col min="9975" max="9982" width="10" style="12" bestFit="1" customWidth="1"/>
    <col min="9983" max="9983" width="10" style="12" customWidth="1"/>
    <col min="9984" max="9986" width="0" style="12" hidden="1" customWidth="1"/>
    <col min="9987" max="9987" width="2.140625" style="12" customWidth="1"/>
    <col min="9988" max="9988" width="11" style="12" bestFit="1" customWidth="1"/>
    <col min="9989" max="9989" width="3.85546875" style="12" customWidth="1"/>
    <col min="9990" max="9990" width="11.85546875" style="12" bestFit="1" customWidth="1"/>
    <col min="9991" max="9991" width="6.28515625" style="12" bestFit="1" customWidth="1"/>
    <col min="9992" max="10229" width="9.140625" style="12"/>
    <col min="10230" max="10230" width="34.28515625" style="12" customWidth="1"/>
    <col min="10231" max="10238" width="10" style="12" bestFit="1" customWidth="1"/>
    <col min="10239" max="10239" width="10" style="12" customWidth="1"/>
    <col min="10240" max="10242" width="0" style="12" hidden="1" customWidth="1"/>
    <col min="10243" max="10243" width="2.140625" style="12" customWidth="1"/>
    <col min="10244" max="10244" width="11" style="12" bestFit="1" customWidth="1"/>
    <col min="10245" max="10245" width="3.85546875" style="12" customWidth="1"/>
    <col min="10246" max="10246" width="11.85546875" style="12" bestFit="1" customWidth="1"/>
    <col min="10247" max="10247" width="6.28515625" style="12" bestFit="1" customWidth="1"/>
    <col min="10248" max="10485" width="9.140625" style="12"/>
    <col min="10486" max="10486" width="34.28515625" style="12" customWidth="1"/>
    <col min="10487" max="10494" width="10" style="12" bestFit="1" customWidth="1"/>
    <col min="10495" max="10495" width="10" style="12" customWidth="1"/>
    <col min="10496" max="10498" width="0" style="12" hidden="1" customWidth="1"/>
    <col min="10499" max="10499" width="2.140625" style="12" customWidth="1"/>
    <col min="10500" max="10500" width="11" style="12" bestFit="1" customWidth="1"/>
    <col min="10501" max="10501" width="3.85546875" style="12" customWidth="1"/>
    <col min="10502" max="10502" width="11.85546875" style="12" bestFit="1" customWidth="1"/>
    <col min="10503" max="10503" width="6.28515625" style="12" bestFit="1" customWidth="1"/>
    <col min="10504" max="10741" width="9.140625" style="12"/>
    <col min="10742" max="10742" width="34.28515625" style="12" customWidth="1"/>
    <col min="10743" max="10750" width="10" style="12" bestFit="1" customWidth="1"/>
    <col min="10751" max="10751" width="10" style="12" customWidth="1"/>
    <col min="10752" max="10754" width="0" style="12" hidden="1" customWidth="1"/>
    <col min="10755" max="10755" width="2.140625" style="12" customWidth="1"/>
    <col min="10756" max="10756" width="11" style="12" bestFit="1" customWidth="1"/>
    <col min="10757" max="10757" width="3.85546875" style="12" customWidth="1"/>
    <col min="10758" max="10758" width="11.85546875" style="12" bestFit="1" customWidth="1"/>
    <col min="10759" max="10759" width="6.28515625" style="12" bestFit="1" customWidth="1"/>
    <col min="10760" max="10997" width="9.140625" style="12"/>
    <col min="10998" max="10998" width="34.28515625" style="12" customWidth="1"/>
    <col min="10999" max="11006" width="10" style="12" bestFit="1" customWidth="1"/>
    <col min="11007" max="11007" width="10" style="12" customWidth="1"/>
    <col min="11008" max="11010" width="0" style="12" hidden="1" customWidth="1"/>
    <col min="11011" max="11011" width="2.140625" style="12" customWidth="1"/>
    <col min="11012" max="11012" width="11" style="12" bestFit="1" customWidth="1"/>
    <col min="11013" max="11013" width="3.85546875" style="12" customWidth="1"/>
    <col min="11014" max="11014" width="11.85546875" style="12" bestFit="1" customWidth="1"/>
    <col min="11015" max="11015" width="6.28515625" style="12" bestFit="1" customWidth="1"/>
    <col min="11016" max="11253" width="9.140625" style="12"/>
    <col min="11254" max="11254" width="34.28515625" style="12" customWidth="1"/>
    <col min="11255" max="11262" width="10" style="12" bestFit="1" customWidth="1"/>
    <col min="11263" max="11263" width="10" style="12" customWidth="1"/>
    <col min="11264" max="11266" width="0" style="12" hidden="1" customWidth="1"/>
    <col min="11267" max="11267" width="2.140625" style="12" customWidth="1"/>
    <col min="11268" max="11268" width="11" style="12" bestFit="1" customWidth="1"/>
    <col min="11269" max="11269" width="3.85546875" style="12" customWidth="1"/>
    <col min="11270" max="11270" width="11.85546875" style="12" bestFit="1" customWidth="1"/>
    <col min="11271" max="11271" width="6.28515625" style="12" bestFit="1" customWidth="1"/>
    <col min="11272" max="11509" width="9.140625" style="12"/>
    <col min="11510" max="11510" width="34.28515625" style="12" customWidth="1"/>
    <col min="11511" max="11518" width="10" style="12" bestFit="1" customWidth="1"/>
    <col min="11519" max="11519" width="10" style="12" customWidth="1"/>
    <col min="11520" max="11522" width="0" style="12" hidden="1" customWidth="1"/>
    <col min="11523" max="11523" width="2.140625" style="12" customWidth="1"/>
    <col min="11524" max="11524" width="11" style="12" bestFit="1" customWidth="1"/>
    <col min="11525" max="11525" width="3.85546875" style="12" customWidth="1"/>
    <col min="11526" max="11526" width="11.85546875" style="12" bestFit="1" customWidth="1"/>
    <col min="11527" max="11527" width="6.28515625" style="12" bestFit="1" customWidth="1"/>
    <col min="11528" max="11765" width="9.140625" style="12"/>
    <col min="11766" max="11766" width="34.28515625" style="12" customWidth="1"/>
    <col min="11767" max="11774" width="10" style="12" bestFit="1" customWidth="1"/>
    <col min="11775" max="11775" width="10" style="12" customWidth="1"/>
    <col min="11776" max="11778" width="0" style="12" hidden="1" customWidth="1"/>
    <col min="11779" max="11779" width="2.140625" style="12" customWidth="1"/>
    <col min="11780" max="11780" width="11" style="12" bestFit="1" customWidth="1"/>
    <col min="11781" max="11781" width="3.85546875" style="12" customWidth="1"/>
    <col min="11782" max="11782" width="11.85546875" style="12" bestFit="1" customWidth="1"/>
    <col min="11783" max="11783" width="6.28515625" style="12" bestFit="1" customWidth="1"/>
    <col min="11784" max="12021" width="9.140625" style="12"/>
    <col min="12022" max="12022" width="34.28515625" style="12" customWidth="1"/>
    <col min="12023" max="12030" width="10" style="12" bestFit="1" customWidth="1"/>
    <col min="12031" max="12031" width="10" style="12" customWidth="1"/>
    <col min="12032" max="12034" width="0" style="12" hidden="1" customWidth="1"/>
    <col min="12035" max="12035" width="2.140625" style="12" customWidth="1"/>
    <col min="12036" max="12036" width="11" style="12" bestFit="1" customWidth="1"/>
    <col min="12037" max="12037" width="3.85546875" style="12" customWidth="1"/>
    <col min="12038" max="12038" width="11.85546875" style="12" bestFit="1" customWidth="1"/>
    <col min="12039" max="12039" width="6.28515625" style="12" bestFit="1" customWidth="1"/>
    <col min="12040" max="12277" width="9.140625" style="12"/>
    <col min="12278" max="12278" width="34.28515625" style="12" customWidth="1"/>
    <col min="12279" max="12286" width="10" style="12" bestFit="1" customWidth="1"/>
    <col min="12287" max="12287" width="10" style="12" customWidth="1"/>
    <col min="12288" max="12290" width="0" style="12" hidden="1" customWidth="1"/>
    <col min="12291" max="12291" width="2.140625" style="12" customWidth="1"/>
    <col min="12292" max="12292" width="11" style="12" bestFit="1" customWidth="1"/>
    <col min="12293" max="12293" width="3.85546875" style="12" customWidth="1"/>
    <col min="12294" max="12294" width="11.85546875" style="12" bestFit="1" customWidth="1"/>
    <col min="12295" max="12295" width="6.28515625" style="12" bestFit="1" customWidth="1"/>
    <col min="12296" max="12533" width="9.140625" style="12"/>
    <col min="12534" max="12534" width="34.28515625" style="12" customWidth="1"/>
    <col min="12535" max="12542" width="10" style="12" bestFit="1" customWidth="1"/>
    <col min="12543" max="12543" width="10" style="12" customWidth="1"/>
    <col min="12544" max="12546" width="0" style="12" hidden="1" customWidth="1"/>
    <col min="12547" max="12547" width="2.140625" style="12" customWidth="1"/>
    <col min="12548" max="12548" width="11" style="12" bestFit="1" customWidth="1"/>
    <col min="12549" max="12549" width="3.85546875" style="12" customWidth="1"/>
    <col min="12550" max="12550" width="11.85546875" style="12" bestFit="1" customWidth="1"/>
    <col min="12551" max="12551" width="6.28515625" style="12" bestFit="1" customWidth="1"/>
    <col min="12552" max="12789" width="9.140625" style="12"/>
    <col min="12790" max="12790" width="34.28515625" style="12" customWidth="1"/>
    <col min="12791" max="12798" width="10" style="12" bestFit="1" customWidth="1"/>
    <col min="12799" max="12799" width="10" style="12" customWidth="1"/>
    <col min="12800" max="12802" width="0" style="12" hidden="1" customWidth="1"/>
    <col min="12803" max="12803" width="2.140625" style="12" customWidth="1"/>
    <col min="12804" max="12804" width="11" style="12" bestFit="1" customWidth="1"/>
    <col min="12805" max="12805" width="3.85546875" style="12" customWidth="1"/>
    <col min="12806" max="12806" width="11.85546875" style="12" bestFit="1" customWidth="1"/>
    <col min="12807" max="12807" width="6.28515625" style="12" bestFit="1" customWidth="1"/>
    <col min="12808" max="13045" width="9.140625" style="12"/>
    <col min="13046" max="13046" width="34.28515625" style="12" customWidth="1"/>
    <col min="13047" max="13054" width="10" style="12" bestFit="1" customWidth="1"/>
    <col min="13055" max="13055" width="10" style="12" customWidth="1"/>
    <col min="13056" max="13058" width="0" style="12" hidden="1" customWidth="1"/>
    <col min="13059" max="13059" width="2.140625" style="12" customWidth="1"/>
    <col min="13060" max="13060" width="11" style="12" bestFit="1" customWidth="1"/>
    <col min="13061" max="13061" width="3.85546875" style="12" customWidth="1"/>
    <col min="13062" max="13062" width="11.85546875" style="12" bestFit="1" customWidth="1"/>
    <col min="13063" max="13063" width="6.28515625" style="12" bestFit="1" customWidth="1"/>
    <col min="13064" max="13301" width="9.140625" style="12"/>
    <col min="13302" max="13302" width="34.28515625" style="12" customWidth="1"/>
    <col min="13303" max="13310" width="10" style="12" bestFit="1" customWidth="1"/>
    <col min="13311" max="13311" width="10" style="12" customWidth="1"/>
    <col min="13312" max="13314" width="0" style="12" hidden="1" customWidth="1"/>
    <col min="13315" max="13315" width="2.140625" style="12" customWidth="1"/>
    <col min="13316" max="13316" width="11" style="12" bestFit="1" customWidth="1"/>
    <col min="13317" max="13317" width="3.85546875" style="12" customWidth="1"/>
    <col min="13318" max="13318" width="11.85546875" style="12" bestFit="1" customWidth="1"/>
    <col min="13319" max="13319" width="6.28515625" style="12" bestFit="1" customWidth="1"/>
    <col min="13320" max="13557" width="9.140625" style="12"/>
    <col min="13558" max="13558" width="34.28515625" style="12" customWidth="1"/>
    <col min="13559" max="13566" width="10" style="12" bestFit="1" customWidth="1"/>
    <col min="13567" max="13567" width="10" style="12" customWidth="1"/>
    <col min="13568" max="13570" width="0" style="12" hidden="1" customWidth="1"/>
    <col min="13571" max="13571" width="2.140625" style="12" customWidth="1"/>
    <col min="13572" max="13572" width="11" style="12" bestFit="1" customWidth="1"/>
    <col min="13573" max="13573" width="3.85546875" style="12" customWidth="1"/>
    <col min="13574" max="13574" width="11.85546875" style="12" bestFit="1" customWidth="1"/>
    <col min="13575" max="13575" width="6.28515625" style="12" bestFit="1" customWidth="1"/>
    <col min="13576" max="13813" width="9.140625" style="12"/>
    <col min="13814" max="13814" width="34.28515625" style="12" customWidth="1"/>
    <col min="13815" max="13822" width="10" style="12" bestFit="1" customWidth="1"/>
    <col min="13823" max="13823" width="10" style="12" customWidth="1"/>
    <col min="13824" max="13826" width="0" style="12" hidden="1" customWidth="1"/>
    <col min="13827" max="13827" width="2.140625" style="12" customWidth="1"/>
    <col min="13828" max="13828" width="11" style="12" bestFit="1" customWidth="1"/>
    <col min="13829" max="13829" width="3.85546875" style="12" customWidth="1"/>
    <col min="13830" max="13830" width="11.85546875" style="12" bestFit="1" customWidth="1"/>
    <col min="13831" max="13831" width="6.28515625" style="12" bestFit="1" customWidth="1"/>
    <col min="13832" max="14069" width="9.140625" style="12"/>
    <col min="14070" max="14070" width="34.28515625" style="12" customWidth="1"/>
    <col min="14071" max="14078" width="10" style="12" bestFit="1" customWidth="1"/>
    <col min="14079" max="14079" width="10" style="12" customWidth="1"/>
    <col min="14080" max="14082" width="0" style="12" hidden="1" customWidth="1"/>
    <col min="14083" max="14083" width="2.140625" style="12" customWidth="1"/>
    <col min="14084" max="14084" width="11" style="12" bestFit="1" customWidth="1"/>
    <col min="14085" max="14085" width="3.85546875" style="12" customWidth="1"/>
    <col min="14086" max="14086" width="11.85546875" style="12" bestFit="1" customWidth="1"/>
    <col min="14087" max="14087" width="6.28515625" style="12" bestFit="1" customWidth="1"/>
    <col min="14088" max="14325" width="9.140625" style="12"/>
    <col min="14326" max="14326" width="34.28515625" style="12" customWidth="1"/>
    <col min="14327" max="14334" width="10" style="12" bestFit="1" customWidth="1"/>
    <col min="14335" max="14335" width="10" style="12" customWidth="1"/>
    <col min="14336" max="14338" width="0" style="12" hidden="1" customWidth="1"/>
    <col min="14339" max="14339" width="2.140625" style="12" customWidth="1"/>
    <col min="14340" max="14340" width="11" style="12" bestFit="1" customWidth="1"/>
    <col min="14341" max="14341" width="3.85546875" style="12" customWidth="1"/>
    <col min="14342" max="14342" width="11.85546875" style="12" bestFit="1" customWidth="1"/>
    <col min="14343" max="14343" width="6.28515625" style="12" bestFit="1" customWidth="1"/>
    <col min="14344" max="14581" width="9.140625" style="12"/>
    <col min="14582" max="14582" width="34.28515625" style="12" customWidth="1"/>
    <col min="14583" max="14590" width="10" style="12" bestFit="1" customWidth="1"/>
    <col min="14591" max="14591" width="10" style="12" customWidth="1"/>
    <col min="14592" max="14594" width="0" style="12" hidden="1" customWidth="1"/>
    <col min="14595" max="14595" width="2.140625" style="12" customWidth="1"/>
    <col min="14596" max="14596" width="11" style="12" bestFit="1" customWidth="1"/>
    <col min="14597" max="14597" width="3.85546875" style="12" customWidth="1"/>
    <col min="14598" max="14598" width="11.85546875" style="12" bestFit="1" customWidth="1"/>
    <col min="14599" max="14599" width="6.28515625" style="12" bestFit="1" customWidth="1"/>
    <col min="14600" max="14837" width="9.140625" style="12"/>
    <col min="14838" max="14838" width="34.28515625" style="12" customWidth="1"/>
    <col min="14839" max="14846" width="10" style="12" bestFit="1" customWidth="1"/>
    <col min="14847" max="14847" width="10" style="12" customWidth="1"/>
    <col min="14848" max="14850" width="0" style="12" hidden="1" customWidth="1"/>
    <col min="14851" max="14851" width="2.140625" style="12" customWidth="1"/>
    <col min="14852" max="14852" width="11" style="12" bestFit="1" customWidth="1"/>
    <col min="14853" max="14853" width="3.85546875" style="12" customWidth="1"/>
    <col min="14854" max="14854" width="11.85546875" style="12" bestFit="1" customWidth="1"/>
    <col min="14855" max="14855" width="6.28515625" style="12" bestFit="1" customWidth="1"/>
    <col min="14856" max="15093" width="9.140625" style="12"/>
    <col min="15094" max="15094" width="34.28515625" style="12" customWidth="1"/>
    <col min="15095" max="15102" width="10" style="12" bestFit="1" customWidth="1"/>
    <col min="15103" max="15103" width="10" style="12" customWidth="1"/>
    <col min="15104" max="15106" width="0" style="12" hidden="1" customWidth="1"/>
    <col min="15107" max="15107" width="2.140625" style="12" customWidth="1"/>
    <col min="15108" max="15108" width="11" style="12" bestFit="1" customWidth="1"/>
    <col min="15109" max="15109" width="3.85546875" style="12" customWidth="1"/>
    <col min="15110" max="15110" width="11.85546875" style="12" bestFit="1" customWidth="1"/>
    <col min="15111" max="15111" width="6.28515625" style="12" bestFit="1" customWidth="1"/>
    <col min="15112" max="15349" width="9.140625" style="12"/>
    <col min="15350" max="15350" width="34.28515625" style="12" customWidth="1"/>
    <col min="15351" max="15358" width="10" style="12" bestFit="1" customWidth="1"/>
    <col min="15359" max="15359" width="10" style="12" customWidth="1"/>
    <col min="15360" max="15362" width="0" style="12" hidden="1" customWidth="1"/>
    <col min="15363" max="15363" width="2.140625" style="12" customWidth="1"/>
    <col min="15364" max="15364" width="11" style="12" bestFit="1" customWidth="1"/>
    <col min="15365" max="15365" width="3.85546875" style="12" customWidth="1"/>
    <col min="15366" max="15366" width="11.85546875" style="12" bestFit="1" customWidth="1"/>
    <col min="15367" max="15367" width="6.28515625" style="12" bestFit="1" customWidth="1"/>
    <col min="15368" max="15605" width="9.140625" style="12"/>
    <col min="15606" max="15606" width="34.28515625" style="12" customWidth="1"/>
    <col min="15607" max="15614" width="10" style="12" bestFit="1" customWidth="1"/>
    <col min="15615" max="15615" width="10" style="12" customWidth="1"/>
    <col min="15616" max="15618" width="0" style="12" hidden="1" customWidth="1"/>
    <col min="15619" max="15619" width="2.140625" style="12" customWidth="1"/>
    <col min="15620" max="15620" width="11" style="12" bestFit="1" customWidth="1"/>
    <col min="15621" max="15621" width="3.85546875" style="12" customWidth="1"/>
    <col min="15622" max="15622" width="11.85546875" style="12" bestFit="1" customWidth="1"/>
    <col min="15623" max="15623" width="6.28515625" style="12" bestFit="1" customWidth="1"/>
    <col min="15624" max="15861" width="9.140625" style="12"/>
    <col min="15862" max="15862" width="34.28515625" style="12" customWidth="1"/>
    <col min="15863" max="15870" width="10" style="12" bestFit="1" customWidth="1"/>
    <col min="15871" max="15871" width="10" style="12" customWidth="1"/>
    <col min="15872" max="15874" width="0" style="12" hidden="1" customWidth="1"/>
    <col min="15875" max="15875" width="2.140625" style="12" customWidth="1"/>
    <col min="15876" max="15876" width="11" style="12" bestFit="1" customWidth="1"/>
    <col min="15877" max="15877" width="3.85546875" style="12" customWidth="1"/>
    <col min="15878" max="15878" width="11.85546875" style="12" bestFit="1" customWidth="1"/>
    <col min="15879" max="15879" width="6.28515625" style="12" bestFit="1" customWidth="1"/>
    <col min="15880" max="16117" width="9.140625" style="12"/>
    <col min="16118" max="16118" width="34.28515625" style="12" customWidth="1"/>
    <col min="16119" max="16126" width="10" style="12" bestFit="1" customWidth="1"/>
    <col min="16127" max="16127" width="10" style="12" customWidth="1"/>
    <col min="16128" max="16130" width="0" style="12" hidden="1" customWidth="1"/>
    <col min="16131" max="16131" width="2.140625" style="12" customWidth="1"/>
    <col min="16132" max="16132" width="11" style="12" bestFit="1" customWidth="1"/>
    <col min="16133" max="16133" width="3.85546875" style="12" customWidth="1"/>
    <col min="16134" max="16134" width="11.85546875" style="12" bestFit="1" customWidth="1"/>
    <col min="16135" max="16135" width="6.28515625" style="12" bestFit="1" customWidth="1"/>
    <col min="16136" max="16384" width="9.140625" style="12"/>
  </cols>
  <sheetData>
    <row r="1" spans="1:9" ht="37.5" customHeight="1" x14ac:dyDescent="0.2">
      <c r="A1" s="138" t="s">
        <v>348</v>
      </c>
      <c r="B1" s="138"/>
      <c r="C1" s="138"/>
      <c r="D1" s="138"/>
      <c r="E1" s="138"/>
      <c r="F1" s="138"/>
      <c r="G1" s="138"/>
      <c r="H1" s="138"/>
      <c r="I1" s="138"/>
    </row>
    <row r="2" spans="1:9" ht="23.25" x14ac:dyDescent="0.35">
      <c r="B2" s="46"/>
      <c r="C2" s="46"/>
      <c r="D2" s="46"/>
    </row>
    <row r="3" spans="1:9" x14ac:dyDescent="0.2">
      <c r="B3" s="51"/>
      <c r="C3" s="51"/>
      <c r="D3" s="51"/>
      <c r="E3" s="51"/>
      <c r="F3" s="136" t="s">
        <v>319</v>
      </c>
      <c r="G3" s="137"/>
    </row>
    <row r="4" spans="1:9" s="5" customFormat="1" x14ac:dyDescent="0.2">
      <c r="A4" s="42" t="s">
        <v>324</v>
      </c>
      <c r="B4" s="53" t="s">
        <v>230</v>
      </c>
      <c r="C4" s="53" t="s">
        <v>307</v>
      </c>
      <c r="D4" s="53" t="s">
        <v>346</v>
      </c>
      <c r="E4" s="54"/>
      <c r="F4" s="55" t="s">
        <v>344</v>
      </c>
      <c r="G4" s="55" t="s">
        <v>345</v>
      </c>
    </row>
    <row r="5" spans="1:9" s="5" customFormat="1" hidden="1" x14ac:dyDescent="0.2">
      <c r="A5" s="6"/>
      <c r="B5" s="7"/>
      <c r="C5" s="7"/>
      <c r="D5" s="7" t="e">
        <f>#REF!</f>
        <v>#REF!</v>
      </c>
      <c r="E5" s="4"/>
      <c r="F5" s="7"/>
      <c r="G5" s="7"/>
    </row>
    <row r="6" spans="1:9" s="5" customFormat="1" ht="22.5" customHeight="1" x14ac:dyDescent="0.2">
      <c r="A6" s="8" t="s">
        <v>105</v>
      </c>
      <c r="B6" s="4"/>
      <c r="C6" s="4"/>
      <c r="D6" s="4"/>
      <c r="E6" s="4"/>
      <c r="F6" s="4"/>
      <c r="G6" s="4"/>
    </row>
    <row r="7" spans="1:9" x14ac:dyDescent="0.2">
      <c r="A7" s="9" t="s">
        <v>106</v>
      </c>
      <c r="B7" s="10">
        <v>138690</v>
      </c>
      <c r="C7" s="10">
        <v>312194.7</v>
      </c>
      <c r="D7" s="10" t="e">
        <f>VLOOKUP(A7,#REF!,15,0)</f>
        <v>#REF!</v>
      </c>
      <c r="F7" s="10">
        <f t="shared" ref="F7:F23" si="0">C7-B7</f>
        <v>173504.7</v>
      </c>
      <c r="G7" s="10" t="e">
        <f t="shared" ref="G7:G23" si="1">D7-C7</f>
        <v>#REF!</v>
      </c>
    </row>
    <row r="8" spans="1:9" x14ac:dyDescent="0.2">
      <c r="A8" s="13" t="s">
        <v>107</v>
      </c>
      <c r="B8" s="10">
        <v>92164</v>
      </c>
      <c r="C8" s="10">
        <v>54981</v>
      </c>
      <c r="D8" s="10" t="e">
        <f>VLOOKUP(A8,#REF!,15,0)</f>
        <v>#REF!</v>
      </c>
      <c r="F8" s="10">
        <f t="shared" si="0"/>
        <v>-37183</v>
      </c>
      <c r="G8" s="10" t="e">
        <f t="shared" si="1"/>
        <v>#REF!</v>
      </c>
    </row>
    <row r="9" spans="1:9" x14ac:dyDescent="0.2">
      <c r="A9" s="13" t="s">
        <v>108</v>
      </c>
      <c r="B9" s="10">
        <v>4705.2700000000004</v>
      </c>
      <c r="C9" s="10">
        <v>11360.449999999999</v>
      </c>
      <c r="D9" s="10" t="e">
        <f>VLOOKUP(A9,#REF!,15,0)</f>
        <v>#REF!</v>
      </c>
      <c r="F9" s="10">
        <f t="shared" si="0"/>
        <v>6655.1799999999985</v>
      </c>
      <c r="G9" s="10" t="e">
        <f t="shared" si="1"/>
        <v>#REF!</v>
      </c>
    </row>
    <row r="10" spans="1:9" x14ac:dyDescent="0.2">
      <c r="A10" s="13" t="s">
        <v>109</v>
      </c>
      <c r="B10" s="10">
        <v>42908.369999999995</v>
      </c>
      <c r="C10" s="10">
        <v>0</v>
      </c>
      <c r="D10" s="10" t="e">
        <f>VLOOKUP(A10,#REF!,15,0)</f>
        <v>#REF!</v>
      </c>
      <c r="F10" s="10">
        <f t="shared" si="0"/>
        <v>-42908.369999999995</v>
      </c>
      <c r="G10" s="10" t="e">
        <f t="shared" si="1"/>
        <v>#REF!</v>
      </c>
    </row>
    <row r="11" spans="1:9" x14ac:dyDescent="0.2">
      <c r="A11" s="13" t="s">
        <v>214</v>
      </c>
      <c r="B11" s="10">
        <v>86286.000000000015</v>
      </c>
      <c r="C11" s="10">
        <v>38723.629999999997</v>
      </c>
      <c r="D11" s="10" t="e">
        <f>VLOOKUP(A11,#REF!,15,0)</f>
        <v>#REF!</v>
      </c>
      <c r="F11" s="10">
        <f t="shared" si="0"/>
        <v>-47562.370000000017</v>
      </c>
      <c r="G11" s="10" t="e">
        <f t="shared" si="1"/>
        <v>#REF!</v>
      </c>
    </row>
    <row r="12" spans="1:9" x14ac:dyDescent="0.2">
      <c r="A12" s="13" t="s">
        <v>110</v>
      </c>
      <c r="B12" s="10">
        <v>37821.379999999997</v>
      </c>
      <c r="C12" s="10">
        <v>13233.119999999999</v>
      </c>
      <c r="D12" s="10" t="e">
        <f>VLOOKUP(A12,#REF!,15,0)</f>
        <v>#REF!</v>
      </c>
      <c r="F12" s="10">
        <f t="shared" si="0"/>
        <v>-24588.26</v>
      </c>
      <c r="G12" s="10" t="e">
        <f t="shared" si="1"/>
        <v>#REF!</v>
      </c>
    </row>
    <row r="13" spans="1:9" x14ac:dyDescent="0.2">
      <c r="A13" s="13" t="s">
        <v>111</v>
      </c>
      <c r="B13" s="10">
        <v>8084.02</v>
      </c>
      <c r="C13" s="10">
        <v>1990</v>
      </c>
      <c r="D13" s="10" t="e">
        <f>VLOOKUP(A13,#REF!,15,0)</f>
        <v>#REF!</v>
      </c>
      <c r="F13" s="10">
        <f t="shared" si="0"/>
        <v>-6094.02</v>
      </c>
      <c r="G13" s="10" t="e">
        <f t="shared" si="1"/>
        <v>#REF!</v>
      </c>
    </row>
    <row r="14" spans="1:9" x14ac:dyDescent="0.2">
      <c r="A14" s="13" t="s">
        <v>112</v>
      </c>
      <c r="B14" s="10">
        <v>81.599999999999994</v>
      </c>
      <c r="C14" s="10">
        <v>0</v>
      </c>
      <c r="D14" s="10" t="e">
        <f>VLOOKUP(A14,#REF!,15,0)</f>
        <v>#REF!</v>
      </c>
      <c r="F14" s="10">
        <f t="shared" si="0"/>
        <v>-81.599999999999994</v>
      </c>
      <c r="G14" s="10" t="e">
        <f t="shared" si="1"/>
        <v>#REF!</v>
      </c>
    </row>
    <row r="15" spans="1:9" x14ac:dyDescent="0.2">
      <c r="A15" s="13" t="s">
        <v>113</v>
      </c>
      <c r="B15" s="10">
        <v>2605</v>
      </c>
      <c r="C15" s="10">
        <v>0</v>
      </c>
      <c r="D15" s="10" t="e">
        <f>VLOOKUP(A15,#REF!,15,0)</f>
        <v>#REF!</v>
      </c>
      <c r="F15" s="10">
        <f t="shared" si="0"/>
        <v>-2605</v>
      </c>
      <c r="G15" s="10" t="e">
        <f t="shared" si="1"/>
        <v>#REF!</v>
      </c>
    </row>
    <row r="16" spans="1:9" x14ac:dyDescent="0.2">
      <c r="A16" s="13" t="s">
        <v>114</v>
      </c>
      <c r="B16" s="10">
        <v>185.04000000000002</v>
      </c>
      <c r="C16" s="10">
        <v>80</v>
      </c>
      <c r="D16" s="10" t="e">
        <f>VLOOKUP(A16,#REF!,15,0)</f>
        <v>#REF!</v>
      </c>
      <c r="F16" s="10">
        <f t="shared" si="0"/>
        <v>-105.04000000000002</v>
      </c>
      <c r="G16" s="10" t="e">
        <f t="shared" si="1"/>
        <v>#REF!</v>
      </c>
    </row>
    <row r="17" spans="1:8" hidden="1" x14ac:dyDescent="0.2">
      <c r="A17" s="13" t="s">
        <v>115</v>
      </c>
      <c r="B17" s="10">
        <v>0</v>
      </c>
      <c r="C17" s="10">
        <v>0</v>
      </c>
      <c r="D17" s="10" t="e">
        <f>VLOOKUP(A17,#REF!,15,0)</f>
        <v>#REF!</v>
      </c>
      <c r="F17" s="10">
        <f t="shared" si="0"/>
        <v>0</v>
      </c>
      <c r="G17" s="10" t="e">
        <f t="shared" si="1"/>
        <v>#REF!</v>
      </c>
    </row>
    <row r="18" spans="1:8" x14ac:dyDescent="0.2">
      <c r="A18" s="13" t="s">
        <v>116</v>
      </c>
      <c r="B18" s="10">
        <v>9231.25</v>
      </c>
      <c r="C18" s="10">
        <v>5974.77</v>
      </c>
      <c r="D18" s="10" t="e">
        <f>VLOOKUP(A18,#REF!,15,0)</f>
        <v>#REF!</v>
      </c>
      <c r="F18" s="10">
        <f t="shared" si="0"/>
        <v>-3256.4799999999996</v>
      </c>
      <c r="G18" s="10" t="e">
        <f t="shared" si="1"/>
        <v>#REF!</v>
      </c>
    </row>
    <row r="19" spans="1:8" x14ac:dyDescent="0.2">
      <c r="A19" s="13" t="s">
        <v>117</v>
      </c>
      <c r="B19" s="10">
        <v>2523.6099999999997</v>
      </c>
      <c r="C19" s="10">
        <v>0</v>
      </c>
      <c r="D19" s="10" t="e">
        <f>VLOOKUP(A19,#REF!,15,0)</f>
        <v>#REF!</v>
      </c>
      <c r="F19" s="10">
        <f t="shared" si="0"/>
        <v>-2523.6099999999997</v>
      </c>
      <c r="G19" s="10" t="e">
        <f t="shared" si="1"/>
        <v>#REF!</v>
      </c>
    </row>
    <row r="20" spans="1:8" x14ac:dyDescent="0.2">
      <c r="A20" s="13" t="s">
        <v>118</v>
      </c>
      <c r="B20" s="10">
        <v>700</v>
      </c>
      <c r="C20" s="10">
        <v>0</v>
      </c>
      <c r="D20" s="10" t="e">
        <f>VLOOKUP(A20,#REF!,15,0)</f>
        <v>#REF!</v>
      </c>
      <c r="F20" s="10">
        <f t="shared" si="0"/>
        <v>-700</v>
      </c>
      <c r="G20" s="10" t="e">
        <f t="shared" si="1"/>
        <v>#REF!</v>
      </c>
    </row>
    <row r="21" spans="1:8" x14ac:dyDescent="0.2">
      <c r="A21" s="13" t="s">
        <v>310</v>
      </c>
      <c r="B21" s="10">
        <v>44561.990000000005</v>
      </c>
      <c r="C21" s="10">
        <v>21181.64</v>
      </c>
      <c r="D21" s="10" t="e">
        <f>VLOOKUP(A21,#REF!,15,0)</f>
        <v>#REF!</v>
      </c>
      <c r="F21" s="10">
        <f t="shared" si="0"/>
        <v>-23380.350000000006</v>
      </c>
      <c r="G21" s="10" t="e">
        <f t="shared" si="1"/>
        <v>#REF!</v>
      </c>
    </row>
    <row r="22" spans="1:8" x14ac:dyDescent="0.2">
      <c r="A22" s="13" t="s">
        <v>285</v>
      </c>
      <c r="B22" s="10">
        <v>3300</v>
      </c>
      <c r="C22" s="10">
        <v>500</v>
      </c>
      <c r="D22" s="10" t="e">
        <f>VLOOKUP(A22,#REF!,15,0)</f>
        <v>#REF!</v>
      </c>
      <c r="F22" s="10">
        <f t="shared" si="0"/>
        <v>-2800</v>
      </c>
      <c r="G22" s="10" t="e">
        <f t="shared" si="1"/>
        <v>#REF!</v>
      </c>
    </row>
    <row r="23" spans="1:8" x14ac:dyDescent="0.2">
      <c r="A23" s="13" t="s">
        <v>287</v>
      </c>
      <c r="B23" s="10">
        <v>432.57</v>
      </c>
      <c r="C23" s="10">
        <v>0</v>
      </c>
      <c r="D23" s="10" t="e">
        <f>VLOOKUP(A23,#REF!,15,0)</f>
        <v>#REF!</v>
      </c>
      <c r="F23" s="10">
        <f t="shared" si="0"/>
        <v>-432.57</v>
      </c>
      <c r="G23" s="10" t="e">
        <f t="shared" si="1"/>
        <v>#REF!</v>
      </c>
      <c r="H23" s="5"/>
    </row>
    <row r="24" spans="1:8" s="5" customFormat="1" x14ac:dyDescent="0.2">
      <c r="A24" s="15" t="s">
        <v>265</v>
      </c>
      <c r="B24" s="16">
        <f>SUM(B7:B23)</f>
        <v>474280.1</v>
      </c>
      <c r="C24" s="16">
        <f>SUM(C7:C23)</f>
        <v>460219.31000000006</v>
      </c>
      <c r="D24" s="16" t="e">
        <f>SUM(D7:D23)</f>
        <v>#REF!</v>
      </c>
      <c r="F24" s="16">
        <f t="shared" ref="F24:G24" si="2">SUM(F7:F23)</f>
        <v>-14060.790000000012</v>
      </c>
      <c r="G24" s="16" t="e">
        <f t="shared" si="2"/>
        <v>#REF!</v>
      </c>
    </row>
    <row r="25" spans="1:8" s="5" customFormat="1" x14ac:dyDescent="0.2">
      <c r="A25" s="8"/>
      <c r="B25" s="4"/>
      <c r="C25" s="4"/>
      <c r="D25" s="4"/>
      <c r="F25" s="62">
        <f>IFERROR(C24/B24-1,"")</f>
        <v>-2.9646594913005919E-2</v>
      </c>
      <c r="G25" s="62" t="str">
        <f>IFERROR(D24/C24-1,"")</f>
        <v/>
      </c>
      <c r="H25" s="12"/>
    </row>
  </sheetData>
  <mergeCells count="2">
    <mergeCell ref="F3:G3"/>
    <mergeCell ref="A1:I1"/>
  </mergeCells>
  <pageMargins left="0.51181102362204722" right="0.51181102362204722" top="1.3779527559055118" bottom="0.78740157480314965" header="0.78740157480314965" footer="0.31496062992125984"/>
  <pageSetup paperSize="9" scale="110" orientation="landscape" horizontalDpi="1200" verticalDpi="1200" r:id="rId1"/>
  <headerFooter>
    <oddHeader>&amp;C&amp;"-,Negrito"&amp;28ASSOCIAÇÃO DAS IGREJAS DA OBRA REGIONAL - REGIÃO 06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249977111117893"/>
  </sheetPr>
  <dimension ref="A1:R23"/>
  <sheetViews>
    <sheetView topLeftCell="A3" workbookViewId="0">
      <selection activeCell="A31" sqref="A31"/>
    </sheetView>
  </sheetViews>
  <sheetFormatPr defaultRowHeight="12.75" x14ac:dyDescent="0.2"/>
  <cols>
    <col min="1" max="1" width="48.85546875" style="12" bestFit="1" customWidth="1"/>
    <col min="2" max="13" width="8" style="12" customWidth="1"/>
    <col min="14" max="14" width="2.140625" style="12" customWidth="1"/>
    <col min="15" max="15" width="8.5703125" style="12" bestFit="1" customWidth="1"/>
    <col min="16" max="16" width="3.85546875" style="12" hidden="1" customWidth="1"/>
    <col min="17" max="17" width="11.85546875" style="12" hidden="1" customWidth="1"/>
    <col min="18" max="18" width="6.85546875" style="12" hidden="1" customWidth="1"/>
    <col min="19" max="256" width="9.140625" style="12"/>
    <col min="257" max="257" width="34.28515625" style="12" customWidth="1"/>
    <col min="258" max="265" width="10" style="12" bestFit="1" customWidth="1"/>
    <col min="266" max="266" width="10" style="12" customWidth="1"/>
    <col min="267" max="269" width="0" style="12" hidden="1" customWidth="1"/>
    <col min="270" max="270" width="2.140625" style="12" customWidth="1"/>
    <col min="271" max="271" width="11" style="12" bestFit="1" customWidth="1"/>
    <col min="272" max="272" width="3.85546875" style="12" customWidth="1"/>
    <col min="273" max="273" width="11.85546875" style="12" bestFit="1" customWidth="1"/>
    <col min="274" max="274" width="6.28515625" style="12" bestFit="1" customWidth="1"/>
    <col min="275" max="512" width="9.140625" style="12"/>
    <col min="513" max="513" width="34.28515625" style="12" customWidth="1"/>
    <col min="514" max="521" width="10" style="12" bestFit="1" customWidth="1"/>
    <col min="522" max="522" width="10" style="12" customWidth="1"/>
    <col min="523" max="525" width="0" style="12" hidden="1" customWidth="1"/>
    <col min="526" max="526" width="2.140625" style="12" customWidth="1"/>
    <col min="527" max="527" width="11" style="12" bestFit="1" customWidth="1"/>
    <col min="528" max="528" width="3.85546875" style="12" customWidth="1"/>
    <col min="529" max="529" width="11.85546875" style="12" bestFit="1" customWidth="1"/>
    <col min="530" max="530" width="6.28515625" style="12" bestFit="1" customWidth="1"/>
    <col min="531" max="768" width="9.140625" style="12"/>
    <col min="769" max="769" width="34.28515625" style="12" customWidth="1"/>
    <col min="770" max="777" width="10" style="12" bestFit="1" customWidth="1"/>
    <col min="778" max="778" width="10" style="12" customWidth="1"/>
    <col min="779" max="781" width="0" style="12" hidden="1" customWidth="1"/>
    <col min="782" max="782" width="2.140625" style="12" customWidth="1"/>
    <col min="783" max="783" width="11" style="12" bestFit="1" customWidth="1"/>
    <col min="784" max="784" width="3.85546875" style="12" customWidth="1"/>
    <col min="785" max="785" width="11.85546875" style="12" bestFit="1" customWidth="1"/>
    <col min="786" max="786" width="6.28515625" style="12" bestFit="1" customWidth="1"/>
    <col min="787" max="1024" width="9.140625" style="12"/>
    <col min="1025" max="1025" width="34.28515625" style="12" customWidth="1"/>
    <col min="1026" max="1033" width="10" style="12" bestFit="1" customWidth="1"/>
    <col min="1034" max="1034" width="10" style="12" customWidth="1"/>
    <col min="1035" max="1037" width="0" style="12" hidden="1" customWidth="1"/>
    <col min="1038" max="1038" width="2.140625" style="12" customWidth="1"/>
    <col min="1039" max="1039" width="11" style="12" bestFit="1" customWidth="1"/>
    <col min="1040" max="1040" width="3.85546875" style="12" customWidth="1"/>
    <col min="1041" max="1041" width="11.85546875" style="12" bestFit="1" customWidth="1"/>
    <col min="1042" max="1042" width="6.28515625" style="12" bestFit="1" customWidth="1"/>
    <col min="1043" max="1280" width="9.140625" style="12"/>
    <col min="1281" max="1281" width="34.28515625" style="12" customWidth="1"/>
    <col min="1282" max="1289" width="10" style="12" bestFit="1" customWidth="1"/>
    <col min="1290" max="1290" width="10" style="12" customWidth="1"/>
    <col min="1291" max="1293" width="0" style="12" hidden="1" customWidth="1"/>
    <col min="1294" max="1294" width="2.140625" style="12" customWidth="1"/>
    <col min="1295" max="1295" width="11" style="12" bestFit="1" customWidth="1"/>
    <col min="1296" max="1296" width="3.85546875" style="12" customWidth="1"/>
    <col min="1297" max="1297" width="11.85546875" style="12" bestFit="1" customWidth="1"/>
    <col min="1298" max="1298" width="6.28515625" style="12" bestFit="1" customWidth="1"/>
    <col min="1299" max="1536" width="9.140625" style="12"/>
    <col min="1537" max="1537" width="34.28515625" style="12" customWidth="1"/>
    <col min="1538" max="1545" width="10" style="12" bestFit="1" customWidth="1"/>
    <col min="1546" max="1546" width="10" style="12" customWidth="1"/>
    <col min="1547" max="1549" width="0" style="12" hidden="1" customWidth="1"/>
    <col min="1550" max="1550" width="2.140625" style="12" customWidth="1"/>
    <col min="1551" max="1551" width="11" style="12" bestFit="1" customWidth="1"/>
    <col min="1552" max="1552" width="3.85546875" style="12" customWidth="1"/>
    <col min="1553" max="1553" width="11.85546875" style="12" bestFit="1" customWidth="1"/>
    <col min="1554" max="1554" width="6.28515625" style="12" bestFit="1" customWidth="1"/>
    <col min="1555" max="1792" width="9.140625" style="12"/>
    <col min="1793" max="1793" width="34.28515625" style="12" customWidth="1"/>
    <col min="1794" max="1801" width="10" style="12" bestFit="1" customWidth="1"/>
    <col min="1802" max="1802" width="10" style="12" customWidth="1"/>
    <col min="1803" max="1805" width="0" style="12" hidden="1" customWidth="1"/>
    <col min="1806" max="1806" width="2.140625" style="12" customWidth="1"/>
    <col min="1807" max="1807" width="11" style="12" bestFit="1" customWidth="1"/>
    <col min="1808" max="1808" width="3.85546875" style="12" customWidth="1"/>
    <col min="1809" max="1809" width="11.85546875" style="12" bestFit="1" customWidth="1"/>
    <col min="1810" max="1810" width="6.28515625" style="12" bestFit="1" customWidth="1"/>
    <col min="1811" max="2048" width="9.140625" style="12"/>
    <col min="2049" max="2049" width="34.28515625" style="12" customWidth="1"/>
    <col min="2050" max="2057" width="10" style="12" bestFit="1" customWidth="1"/>
    <col min="2058" max="2058" width="10" style="12" customWidth="1"/>
    <col min="2059" max="2061" width="0" style="12" hidden="1" customWidth="1"/>
    <col min="2062" max="2062" width="2.140625" style="12" customWidth="1"/>
    <col min="2063" max="2063" width="11" style="12" bestFit="1" customWidth="1"/>
    <col min="2064" max="2064" width="3.85546875" style="12" customWidth="1"/>
    <col min="2065" max="2065" width="11.85546875" style="12" bestFit="1" customWidth="1"/>
    <col min="2066" max="2066" width="6.28515625" style="12" bestFit="1" customWidth="1"/>
    <col min="2067" max="2304" width="9.140625" style="12"/>
    <col min="2305" max="2305" width="34.28515625" style="12" customWidth="1"/>
    <col min="2306" max="2313" width="10" style="12" bestFit="1" customWidth="1"/>
    <col min="2314" max="2314" width="10" style="12" customWidth="1"/>
    <col min="2315" max="2317" width="0" style="12" hidden="1" customWidth="1"/>
    <col min="2318" max="2318" width="2.140625" style="12" customWidth="1"/>
    <col min="2319" max="2319" width="11" style="12" bestFit="1" customWidth="1"/>
    <col min="2320" max="2320" width="3.85546875" style="12" customWidth="1"/>
    <col min="2321" max="2321" width="11.85546875" style="12" bestFit="1" customWidth="1"/>
    <col min="2322" max="2322" width="6.28515625" style="12" bestFit="1" customWidth="1"/>
    <col min="2323" max="2560" width="9.140625" style="12"/>
    <col min="2561" max="2561" width="34.28515625" style="12" customWidth="1"/>
    <col min="2562" max="2569" width="10" style="12" bestFit="1" customWidth="1"/>
    <col min="2570" max="2570" width="10" style="12" customWidth="1"/>
    <col min="2571" max="2573" width="0" style="12" hidden="1" customWidth="1"/>
    <col min="2574" max="2574" width="2.140625" style="12" customWidth="1"/>
    <col min="2575" max="2575" width="11" style="12" bestFit="1" customWidth="1"/>
    <col min="2576" max="2576" width="3.85546875" style="12" customWidth="1"/>
    <col min="2577" max="2577" width="11.85546875" style="12" bestFit="1" customWidth="1"/>
    <col min="2578" max="2578" width="6.28515625" style="12" bestFit="1" customWidth="1"/>
    <col min="2579" max="2816" width="9.140625" style="12"/>
    <col min="2817" max="2817" width="34.28515625" style="12" customWidth="1"/>
    <col min="2818" max="2825" width="10" style="12" bestFit="1" customWidth="1"/>
    <col min="2826" max="2826" width="10" style="12" customWidth="1"/>
    <col min="2827" max="2829" width="0" style="12" hidden="1" customWidth="1"/>
    <col min="2830" max="2830" width="2.140625" style="12" customWidth="1"/>
    <col min="2831" max="2831" width="11" style="12" bestFit="1" customWidth="1"/>
    <col min="2832" max="2832" width="3.85546875" style="12" customWidth="1"/>
    <col min="2833" max="2833" width="11.85546875" style="12" bestFit="1" customWidth="1"/>
    <col min="2834" max="2834" width="6.28515625" style="12" bestFit="1" customWidth="1"/>
    <col min="2835" max="3072" width="9.140625" style="12"/>
    <col min="3073" max="3073" width="34.28515625" style="12" customWidth="1"/>
    <col min="3074" max="3081" width="10" style="12" bestFit="1" customWidth="1"/>
    <col min="3082" max="3082" width="10" style="12" customWidth="1"/>
    <col min="3083" max="3085" width="0" style="12" hidden="1" customWidth="1"/>
    <col min="3086" max="3086" width="2.140625" style="12" customWidth="1"/>
    <col min="3087" max="3087" width="11" style="12" bestFit="1" customWidth="1"/>
    <col min="3088" max="3088" width="3.85546875" style="12" customWidth="1"/>
    <col min="3089" max="3089" width="11.85546875" style="12" bestFit="1" customWidth="1"/>
    <col min="3090" max="3090" width="6.28515625" style="12" bestFit="1" customWidth="1"/>
    <col min="3091" max="3328" width="9.140625" style="12"/>
    <col min="3329" max="3329" width="34.28515625" style="12" customWidth="1"/>
    <col min="3330" max="3337" width="10" style="12" bestFit="1" customWidth="1"/>
    <col min="3338" max="3338" width="10" style="12" customWidth="1"/>
    <col min="3339" max="3341" width="0" style="12" hidden="1" customWidth="1"/>
    <col min="3342" max="3342" width="2.140625" style="12" customWidth="1"/>
    <col min="3343" max="3343" width="11" style="12" bestFit="1" customWidth="1"/>
    <col min="3344" max="3344" width="3.85546875" style="12" customWidth="1"/>
    <col min="3345" max="3345" width="11.85546875" style="12" bestFit="1" customWidth="1"/>
    <col min="3346" max="3346" width="6.28515625" style="12" bestFit="1" customWidth="1"/>
    <col min="3347" max="3584" width="9.140625" style="12"/>
    <col min="3585" max="3585" width="34.28515625" style="12" customWidth="1"/>
    <col min="3586" max="3593" width="10" style="12" bestFit="1" customWidth="1"/>
    <col min="3594" max="3594" width="10" style="12" customWidth="1"/>
    <col min="3595" max="3597" width="0" style="12" hidden="1" customWidth="1"/>
    <col min="3598" max="3598" width="2.140625" style="12" customWidth="1"/>
    <col min="3599" max="3599" width="11" style="12" bestFit="1" customWidth="1"/>
    <col min="3600" max="3600" width="3.85546875" style="12" customWidth="1"/>
    <col min="3601" max="3601" width="11.85546875" style="12" bestFit="1" customWidth="1"/>
    <col min="3602" max="3602" width="6.28515625" style="12" bestFit="1" customWidth="1"/>
    <col min="3603" max="3840" width="9.140625" style="12"/>
    <col min="3841" max="3841" width="34.28515625" style="12" customWidth="1"/>
    <col min="3842" max="3849" width="10" style="12" bestFit="1" customWidth="1"/>
    <col min="3850" max="3850" width="10" style="12" customWidth="1"/>
    <col min="3851" max="3853" width="0" style="12" hidden="1" customWidth="1"/>
    <col min="3854" max="3854" width="2.140625" style="12" customWidth="1"/>
    <col min="3855" max="3855" width="11" style="12" bestFit="1" customWidth="1"/>
    <col min="3856" max="3856" width="3.85546875" style="12" customWidth="1"/>
    <col min="3857" max="3857" width="11.85546875" style="12" bestFit="1" customWidth="1"/>
    <col min="3858" max="3858" width="6.28515625" style="12" bestFit="1" customWidth="1"/>
    <col min="3859" max="4096" width="9.140625" style="12"/>
    <col min="4097" max="4097" width="34.28515625" style="12" customWidth="1"/>
    <col min="4098" max="4105" width="10" style="12" bestFit="1" customWidth="1"/>
    <col min="4106" max="4106" width="10" style="12" customWidth="1"/>
    <col min="4107" max="4109" width="0" style="12" hidden="1" customWidth="1"/>
    <col min="4110" max="4110" width="2.140625" style="12" customWidth="1"/>
    <col min="4111" max="4111" width="11" style="12" bestFit="1" customWidth="1"/>
    <col min="4112" max="4112" width="3.85546875" style="12" customWidth="1"/>
    <col min="4113" max="4113" width="11.85546875" style="12" bestFit="1" customWidth="1"/>
    <col min="4114" max="4114" width="6.28515625" style="12" bestFit="1" customWidth="1"/>
    <col min="4115" max="4352" width="9.140625" style="12"/>
    <col min="4353" max="4353" width="34.28515625" style="12" customWidth="1"/>
    <col min="4354" max="4361" width="10" style="12" bestFit="1" customWidth="1"/>
    <col min="4362" max="4362" width="10" style="12" customWidth="1"/>
    <col min="4363" max="4365" width="0" style="12" hidden="1" customWidth="1"/>
    <col min="4366" max="4366" width="2.140625" style="12" customWidth="1"/>
    <col min="4367" max="4367" width="11" style="12" bestFit="1" customWidth="1"/>
    <col min="4368" max="4368" width="3.85546875" style="12" customWidth="1"/>
    <col min="4369" max="4369" width="11.85546875" style="12" bestFit="1" customWidth="1"/>
    <col min="4370" max="4370" width="6.28515625" style="12" bestFit="1" customWidth="1"/>
    <col min="4371" max="4608" width="9.140625" style="12"/>
    <col min="4609" max="4609" width="34.28515625" style="12" customWidth="1"/>
    <col min="4610" max="4617" width="10" style="12" bestFit="1" customWidth="1"/>
    <col min="4618" max="4618" width="10" style="12" customWidth="1"/>
    <col min="4619" max="4621" width="0" style="12" hidden="1" customWidth="1"/>
    <col min="4622" max="4622" width="2.140625" style="12" customWidth="1"/>
    <col min="4623" max="4623" width="11" style="12" bestFit="1" customWidth="1"/>
    <col min="4624" max="4624" width="3.85546875" style="12" customWidth="1"/>
    <col min="4625" max="4625" width="11.85546875" style="12" bestFit="1" customWidth="1"/>
    <col min="4626" max="4626" width="6.28515625" style="12" bestFit="1" customWidth="1"/>
    <col min="4627" max="4864" width="9.140625" style="12"/>
    <col min="4865" max="4865" width="34.28515625" style="12" customWidth="1"/>
    <col min="4866" max="4873" width="10" style="12" bestFit="1" customWidth="1"/>
    <col min="4874" max="4874" width="10" style="12" customWidth="1"/>
    <col min="4875" max="4877" width="0" style="12" hidden="1" customWidth="1"/>
    <col min="4878" max="4878" width="2.140625" style="12" customWidth="1"/>
    <col min="4879" max="4879" width="11" style="12" bestFit="1" customWidth="1"/>
    <col min="4880" max="4880" width="3.85546875" style="12" customWidth="1"/>
    <col min="4881" max="4881" width="11.85546875" style="12" bestFit="1" customWidth="1"/>
    <col min="4882" max="4882" width="6.28515625" style="12" bestFit="1" customWidth="1"/>
    <col min="4883" max="5120" width="9.140625" style="12"/>
    <col min="5121" max="5121" width="34.28515625" style="12" customWidth="1"/>
    <col min="5122" max="5129" width="10" style="12" bestFit="1" customWidth="1"/>
    <col min="5130" max="5130" width="10" style="12" customWidth="1"/>
    <col min="5131" max="5133" width="0" style="12" hidden="1" customWidth="1"/>
    <col min="5134" max="5134" width="2.140625" style="12" customWidth="1"/>
    <col min="5135" max="5135" width="11" style="12" bestFit="1" customWidth="1"/>
    <col min="5136" max="5136" width="3.85546875" style="12" customWidth="1"/>
    <col min="5137" max="5137" width="11.85546875" style="12" bestFit="1" customWidth="1"/>
    <col min="5138" max="5138" width="6.28515625" style="12" bestFit="1" customWidth="1"/>
    <col min="5139" max="5376" width="9.140625" style="12"/>
    <col min="5377" max="5377" width="34.28515625" style="12" customWidth="1"/>
    <col min="5378" max="5385" width="10" style="12" bestFit="1" customWidth="1"/>
    <col min="5386" max="5386" width="10" style="12" customWidth="1"/>
    <col min="5387" max="5389" width="0" style="12" hidden="1" customWidth="1"/>
    <col min="5390" max="5390" width="2.140625" style="12" customWidth="1"/>
    <col min="5391" max="5391" width="11" style="12" bestFit="1" customWidth="1"/>
    <col min="5392" max="5392" width="3.85546875" style="12" customWidth="1"/>
    <col min="5393" max="5393" width="11.85546875" style="12" bestFit="1" customWidth="1"/>
    <col min="5394" max="5394" width="6.28515625" style="12" bestFit="1" customWidth="1"/>
    <col min="5395" max="5632" width="9.140625" style="12"/>
    <col min="5633" max="5633" width="34.28515625" style="12" customWidth="1"/>
    <col min="5634" max="5641" width="10" style="12" bestFit="1" customWidth="1"/>
    <col min="5642" max="5642" width="10" style="12" customWidth="1"/>
    <col min="5643" max="5645" width="0" style="12" hidden="1" customWidth="1"/>
    <col min="5646" max="5646" width="2.140625" style="12" customWidth="1"/>
    <col min="5647" max="5647" width="11" style="12" bestFit="1" customWidth="1"/>
    <col min="5648" max="5648" width="3.85546875" style="12" customWidth="1"/>
    <col min="5649" max="5649" width="11.85546875" style="12" bestFit="1" customWidth="1"/>
    <col min="5650" max="5650" width="6.28515625" style="12" bestFit="1" customWidth="1"/>
    <col min="5651" max="5888" width="9.140625" style="12"/>
    <col min="5889" max="5889" width="34.28515625" style="12" customWidth="1"/>
    <col min="5890" max="5897" width="10" style="12" bestFit="1" customWidth="1"/>
    <col min="5898" max="5898" width="10" style="12" customWidth="1"/>
    <col min="5899" max="5901" width="0" style="12" hidden="1" customWidth="1"/>
    <col min="5902" max="5902" width="2.140625" style="12" customWidth="1"/>
    <col min="5903" max="5903" width="11" style="12" bestFit="1" customWidth="1"/>
    <col min="5904" max="5904" width="3.85546875" style="12" customWidth="1"/>
    <col min="5905" max="5905" width="11.85546875" style="12" bestFit="1" customWidth="1"/>
    <col min="5906" max="5906" width="6.28515625" style="12" bestFit="1" customWidth="1"/>
    <col min="5907" max="6144" width="9.140625" style="12"/>
    <col min="6145" max="6145" width="34.28515625" style="12" customWidth="1"/>
    <col min="6146" max="6153" width="10" style="12" bestFit="1" customWidth="1"/>
    <col min="6154" max="6154" width="10" style="12" customWidth="1"/>
    <col min="6155" max="6157" width="0" style="12" hidden="1" customWidth="1"/>
    <col min="6158" max="6158" width="2.140625" style="12" customWidth="1"/>
    <col min="6159" max="6159" width="11" style="12" bestFit="1" customWidth="1"/>
    <col min="6160" max="6160" width="3.85546875" style="12" customWidth="1"/>
    <col min="6161" max="6161" width="11.85546875" style="12" bestFit="1" customWidth="1"/>
    <col min="6162" max="6162" width="6.28515625" style="12" bestFit="1" customWidth="1"/>
    <col min="6163" max="6400" width="9.140625" style="12"/>
    <col min="6401" max="6401" width="34.28515625" style="12" customWidth="1"/>
    <col min="6402" max="6409" width="10" style="12" bestFit="1" customWidth="1"/>
    <col min="6410" max="6410" width="10" style="12" customWidth="1"/>
    <col min="6411" max="6413" width="0" style="12" hidden="1" customWidth="1"/>
    <col min="6414" max="6414" width="2.140625" style="12" customWidth="1"/>
    <col min="6415" max="6415" width="11" style="12" bestFit="1" customWidth="1"/>
    <col min="6416" max="6416" width="3.85546875" style="12" customWidth="1"/>
    <col min="6417" max="6417" width="11.85546875" style="12" bestFit="1" customWidth="1"/>
    <col min="6418" max="6418" width="6.28515625" style="12" bestFit="1" customWidth="1"/>
    <col min="6419" max="6656" width="9.140625" style="12"/>
    <col min="6657" max="6657" width="34.28515625" style="12" customWidth="1"/>
    <col min="6658" max="6665" width="10" style="12" bestFit="1" customWidth="1"/>
    <col min="6666" max="6666" width="10" style="12" customWidth="1"/>
    <col min="6667" max="6669" width="0" style="12" hidden="1" customWidth="1"/>
    <col min="6670" max="6670" width="2.140625" style="12" customWidth="1"/>
    <col min="6671" max="6671" width="11" style="12" bestFit="1" customWidth="1"/>
    <col min="6672" max="6672" width="3.85546875" style="12" customWidth="1"/>
    <col min="6673" max="6673" width="11.85546875" style="12" bestFit="1" customWidth="1"/>
    <col min="6674" max="6674" width="6.28515625" style="12" bestFit="1" customWidth="1"/>
    <col min="6675" max="6912" width="9.140625" style="12"/>
    <col min="6913" max="6913" width="34.28515625" style="12" customWidth="1"/>
    <col min="6914" max="6921" width="10" style="12" bestFit="1" customWidth="1"/>
    <col min="6922" max="6922" width="10" style="12" customWidth="1"/>
    <col min="6923" max="6925" width="0" style="12" hidden="1" customWidth="1"/>
    <col min="6926" max="6926" width="2.140625" style="12" customWidth="1"/>
    <col min="6927" max="6927" width="11" style="12" bestFit="1" customWidth="1"/>
    <col min="6928" max="6928" width="3.85546875" style="12" customWidth="1"/>
    <col min="6929" max="6929" width="11.85546875" style="12" bestFit="1" customWidth="1"/>
    <col min="6930" max="6930" width="6.28515625" style="12" bestFit="1" customWidth="1"/>
    <col min="6931" max="7168" width="9.140625" style="12"/>
    <col min="7169" max="7169" width="34.28515625" style="12" customWidth="1"/>
    <col min="7170" max="7177" width="10" style="12" bestFit="1" customWidth="1"/>
    <col min="7178" max="7178" width="10" style="12" customWidth="1"/>
    <col min="7179" max="7181" width="0" style="12" hidden="1" customWidth="1"/>
    <col min="7182" max="7182" width="2.140625" style="12" customWidth="1"/>
    <col min="7183" max="7183" width="11" style="12" bestFit="1" customWidth="1"/>
    <col min="7184" max="7184" width="3.85546875" style="12" customWidth="1"/>
    <col min="7185" max="7185" width="11.85546875" style="12" bestFit="1" customWidth="1"/>
    <col min="7186" max="7186" width="6.28515625" style="12" bestFit="1" customWidth="1"/>
    <col min="7187" max="7424" width="9.140625" style="12"/>
    <col min="7425" max="7425" width="34.28515625" style="12" customWidth="1"/>
    <col min="7426" max="7433" width="10" style="12" bestFit="1" customWidth="1"/>
    <col min="7434" max="7434" width="10" style="12" customWidth="1"/>
    <col min="7435" max="7437" width="0" style="12" hidden="1" customWidth="1"/>
    <col min="7438" max="7438" width="2.140625" style="12" customWidth="1"/>
    <col min="7439" max="7439" width="11" style="12" bestFit="1" customWidth="1"/>
    <col min="7440" max="7440" width="3.85546875" style="12" customWidth="1"/>
    <col min="7441" max="7441" width="11.85546875" style="12" bestFit="1" customWidth="1"/>
    <col min="7442" max="7442" width="6.28515625" style="12" bestFit="1" customWidth="1"/>
    <col min="7443" max="7680" width="9.140625" style="12"/>
    <col min="7681" max="7681" width="34.28515625" style="12" customWidth="1"/>
    <col min="7682" max="7689" width="10" style="12" bestFit="1" customWidth="1"/>
    <col min="7690" max="7690" width="10" style="12" customWidth="1"/>
    <col min="7691" max="7693" width="0" style="12" hidden="1" customWidth="1"/>
    <col min="7694" max="7694" width="2.140625" style="12" customWidth="1"/>
    <col min="7695" max="7695" width="11" style="12" bestFit="1" customWidth="1"/>
    <col min="7696" max="7696" width="3.85546875" style="12" customWidth="1"/>
    <col min="7697" max="7697" width="11.85546875" style="12" bestFit="1" customWidth="1"/>
    <col min="7698" max="7698" width="6.28515625" style="12" bestFit="1" customWidth="1"/>
    <col min="7699" max="7936" width="9.140625" style="12"/>
    <col min="7937" max="7937" width="34.28515625" style="12" customWidth="1"/>
    <col min="7938" max="7945" width="10" style="12" bestFit="1" customWidth="1"/>
    <col min="7946" max="7946" width="10" style="12" customWidth="1"/>
    <col min="7947" max="7949" width="0" style="12" hidden="1" customWidth="1"/>
    <col min="7950" max="7950" width="2.140625" style="12" customWidth="1"/>
    <col min="7951" max="7951" width="11" style="12" bestFit="1" customWidth="1"/>
    <col min="7952" max="7952" width="3.85546875" style="12" customWidth="1"/>
    <col min="7953" max="7953" width="11.85546875" style="12" bestFit="1" customWidth="1"/>
    <col min="7954" max="7954" width="6.28515625" style="12" bestFit="1" customWidth="1"/>
    <col min="7955" max="8192" width="9.140625" style="12"/>
    <col min="8193" max="8193" width="34.28515625" style="12" customWidth="1"/>
    <col min="8194" max="8201" width="10" style="12" bestFit="1" customWidth="1"/>
    <col min="8202" max="8202" width="10" style="12" customWidth="1"/>
    <col min="8203" max="8205" width="0" style="12" hidden="1" customWidth="1"/>
    <col min="8206" max="8206" width="2.140625" style="12" customWidth="1"/>
    <col min="8207" max="8207" width="11" style="12" bestFit="1" customWidth="1"/>
    <col min="8208" max="8208" width="3.85546875" style="12" customWidth="1"/>
    <col min="8209" max="8209" width="11.85546875" style="12" bestFit="1" customWidth="1"/>
    <col min="8210" max="8210" width="6.28515625" style="12" bestFit="1" customWidth="1"/>
    <col min="8211" max="8448" width="9.140625" style="12"/>
    <col min="8449" max="8449" width="34.28515625" style="12" customWidth="1"/>
    <col min="8450" max="8457" width="10" style="12" bestFit="1" customWidth="1"/>
    <col min="8458" max="8458" width="10" style="12" customWidth="1"/>
    <col min="8459" max="8461" width="0" style="12" hidden="1" customWidth="1"/>
    <col min="8462" max="8462" width="2.140625" style="12" customWidth="1"/>
    <col min="8463" max="8463" width="11" style="12" bestFit="1" customWidth="1"/>
    <col min="8464" max="8464" width="3.85546875" style="12" customWidth="1"/>
    <col min="8465" max="8465" width="11.85546875" style="12" bestFit="1" customWidth="1"/>
    <col min="8466" max="8466" width="6.28515625" style="12" bestFit="1" customWidth="1"/>
    <col min="8467" max="8704" width="9.140625" style="12"/>
    <col min="8705" max="8705" width="34.28515625" style="12" customWidth="1"/>
    <col min="8706" max="8713" width="10" style="12" bestFit="1" customWidth="1"/>
    <col min="8714" max="8714" width="10" style="12" customWidth="1"/>
    <col min="8715" max="8717" width="0" style="12" hidden="1" customWidth="1"/>
    <col min="8718" max="8718" width="2.140625" style="12" customWidth="1"/>
    <col min="8719" max="8719" width="11" style="12" bestFit="1" customWidth="1"/>
    <col min="8720" max="8720" width="3.85546875" style="12" customWidth="1"/>
    <col min="8721" max="8721" width="11.85546875" style="12" bestFit="1" customWidth="1"/>
    <col min="8722" max="8722" width="6.28515625" style="12" bestFit="1" customWidth="1"/>
    <col min="8723" max="8960" width="9.140625" style="12"/>
    <col min="8961" max="8961" width="34.28515625" style="12" customWidth="1"/>
    <col min="8962" max="8969" width="10" style="12" bestFit="1" customWidth="1"/>
    <col min="8970" max="8970" width="10" style="12" customWidth="1"/>
    <col min="8971" max="8973" width="0" style="12" hidden="1" customWidth="1"/>
    <col min="8974" max="8974" width="2.140625" style="12" customWidth="1"/>
    <col min="8975" max="8975" width="11" style="12" bestFit="1" customWidth="1"/>
    <col min="8976" max="8976" width="3.85546875" style="12" customWidth="1"/>
    <col min="8977" max="8977" width="11.85546875" style="12" bestFit="1" customWidth="1"/>
    <col min="8978" max="8978" width="6.28515625" style="12" bestFit="1" customWidth="1"/>
    <col min="8979" max="9216" width="9.140625" style="12"/>
    <col min="9217" max="9217" width="34.28515625" style="12" customWidth="1"/>
    <col min="9218" max="9225" width="10" style="12" bestFit="1" customWidth="1"/>
    <col min="9226" max="9226" width="10" style="12" customWidth="1"/>
    <col min="9227" max="9229" width="0" style="12" hidden="1" customWidth="1"/>
    <col min="9230" max="9230" width="2.140625" style="12" customWidth="1"/>
    <col min="9231" max="9231" width="11" style="12" bestFit="1" customWidth="1"/>
    <col min="9232" max="9232" width="3.85546875" style="12" customWidth="1"/>
    <col min="9233" max="9233" width="11.85546875" style="12" bestFit="1" customWidth="1"/>
    <col min="9234" max="9234" width="6.28515625" style="12" bestFit="1" customWidth="1"/>
    <col min="9235" max="9472" width="9.140625" style="12"/>
    <col min="9473" max="9473" width="34.28515625" style="12" customWidth="1"/>
    <col min="9474" max="9481" width="10" style="12" bestFit="1" customWidth="1"/>
    <col min="9482" max="9482" width="10" style="12" customWidth="1"/>
    <col min="9483" max="9485" width="0" style="12" hidden="1" customWidth="1"/>
    <col min="9486" max="9486" width="2.140625" style="12" customWidth="1"/>
    <col min="9487" max="9487" width="11" style="12" bestFit="1" customWidth="1"/>
    <col min="9488" max="9488" width="3.85546875" style="12" customWidth="1"/>
    <col min="9489" max="9489" width="11.85546875" style="12" bestFit="1" customWidth="1"/>
    <col min="9490" max="9490" width="6.28515625" style="12" bestFit="1" customWidth="1"/>
    <col min="9491" max="9728" width="9.140625" style="12"/>
    <col min="9729" max="9729" width="34.28515625" style="12" customWidth="1"/>
    <col min="9730" max="9737" width="10" style="12" bestFit="1" customWidth="1"/>
    <col min="9738" max="9738" width="10" style="12" customWidth="1"/>
    <col min="9739" max="9741" width="0" style="12" hidden="1" customWidth="1"/>
    <col min="9742" max="9742" width="2.140625" style="12" customWidth="1"/>
    <col min="9743" max="9743" width="11" style="12" bestFit="1" customWidth="1"/>
    <col min="9744" max="9744" width="3.85546875" style="12" customWidth="1"/>
    <col min="9745" max="9745" width="11.85546875" style="12" bestFit="1" customWidth="1"/>
    <col min="9746" max="9746" width="6.28515625" style="12" bestFit="1" customWidth="1"/>
    <col min="9747" max="9984" width="9.140625" style="12"/>
    <col min="9985" max="9985" width="34.28515625" style="12" customWidth="1"/>
    <col min="9986" max="9993" width="10" style="12" bestFit="1" customWidth="1"/>
    <col min="9994" max="9994" width="10" style="12" customWidth="1"/>
    <col min="9995" max="9997" width="0" style="12" hidden="1" customWidth="1"/>
    <col min="9998" max="9998" width="2.140625" style="12" customWidth="1"/>
    <col min="9999" max="9999" width="11" style="12" bestFit="1" customWidth="1"/>
    <col min="10000" max="10000" width="3.85546875" style="12" customWidth="1"/>
    <col min="10001" max="10001" width="11.85546875" style="12" bestFit="1" customWidth="1"/>
    <col min="10002" max="10002" width="6.28515625" style="12" bestFit="1" customWidth="1"/>
    <col min="10003" max="10240" width="9.140625" style="12"/>
    <col min="10241" max="10241" width="34.28515625" style="12" customWidth="1"/>
    <col min="10242" max="10249" width="10" style="12" bestFit="1" customWidth="1"/>
    <col min="10250" max="10250" width="10" style="12" customWidth="1"/>
    <col min="10251" max="10253" width="0" style="12" hidden="1" customWidth="1"/>
    <col min="10254" max="10254" width="2.140625" style="12" customWidth="1"/>
    <col min="10255" max="10255" width="11" style="12" bestFit="1" customWidth="1"/>
    <col min="10256" max="10256" width="3.85546875" style="12" customWidth="1"/>
    <col min="10257" max="10257" width="11.85546875" style="12" bestFit="1" customWidth="1"/>
    <col min="10258" max="10258" width="6.28515625" style="12" bestFit="1" customWidth="1"/>
    <col min="10259" max="10496" width="9.140625" style="12"/>
    <col min="10497" max="10497" width="34.28515625" style="12" customWidth="1"/>
    <col min="10498" max="10505" width="10" style="12" bestFit="1" customWidth="1"/>
    <col min="10506" max="10506" width="10" style="12" customWidth="1"/>
    <col min="10507" max="10509" width="0" style="12" hidden="1" customWidth="1"/>
    <col min="10510" max="10510" width="2.140625" style="12" customWidth="1"/>
    <col min="10511" max="10511" width="11" style="12" bestFit="1" customWidth="1"/>
    <col min="10512" max="10512" width="3.85546875" style="12" customWidth="1"/>
    <col min="10513" max="10513" width="11.85546875" style="12" bestFit="1" customWidth="1"/>
    <col min="10514" max="10514" width="6.28515625" style="12" bestFit="1" customWidth="1"/>
    <col min="10515" max="10752" width="9.140625" style="12"/>
    <col min="10753" max="10753" width="34.28515625" style="12" customWidth="1"/>
    <col min="10754" max="10761" width="10" style="12" bestFit="1" customWidth="1"/>
    <col min="10762" max="10762" width="10" style="12" customWidth="1"/>
    <col min="10763" max="10765" width="0" style="12" hidden="1" customWidth="1"/>
    <col min="10766" max="10766" width="2.140625" style="12" customWidth="1"/>
    <col min="10767" max="10767" width="11" style="12" bestFit="1" customWidth="1"/>
    <col min="10768" max="10768" width="3.85546875" style="12" customWidth="1"/>
    <col min="10769" max="10769" width="11.85546875" style="12" bestFit="1" customWidth="1"/>
    <col min="10770" max="10770" width="6.28515625" style="12" bestFit="1" customWidth="1"/>
    <col min="10771" max="11008" width="9.140625" style="12"/>
    <col min="11009" max="11009" width="34.28515625" style="12" customWidth="1"/>
    <col min="11010" max="11017" width="10" style="12" bestFit="1" customWidth="1"/>
    <col min="11018" max="11018" width="10" style="12" customWidth="1"/>
    <col min="11019" max="11021" width="0" style="12" hidden="1" customWidth="1"/>
    <col min="11022" max="11022" width="2.140625" style="12" customWidth="1"/>
    <col min="11023" max="11023" width="11" style="12" bestFit="1" customWidth="1"/>
    <col min="11024" max="11024" width="3.85546875" style="12" customWidth="1"/>
    <col min="11025" max="11025" width="11.85546875" style="12" bestFit="1" customWidth="1"/>
    <col min="11026" max="11026" width="6.28515625" style="12" bestFit="1" customWidth="1"/>
    <col min="11027" max="11264" width="9.140625" style="12"/>
    <col min="11265" max="11265" width="34.28515625" style="12" customWidth="1"/>
    <col min="11266" max="11273" width="10" style="12" bestFit="1" customWidth="1"/>
    <col min="11274" max="11274" width="10" style="12" customWidth="1"/>
    <col min="11275" max="11277" width="0" style="12" hidden="1" customWidth="1"/>
    <col min="11278" max="11278" width="2.140625" style="12" customWidth="1"/>
    <col min="11279" max="11279" width="11" style="12" bestFit="1" customWidth="1"/>
    <col min="11280" max="11280" width="3.85546875" style="12" customWidth="1"/>
    <col min="11281" max="11281" width="11.85546875" style="12" bestFit="1" customWidth="1"/>
    <col min="11282" max="11282" width="6.28515625" style="12" bestFit="1" customWidth="1"/>
    <col min="11283" max="11520" width="9.140625" style="12"/>
    <col min="11521" max="11521" width="34.28515625" style="12" customWidth="1"/>
    <col min="11522" max="11529" width="10" style="12" bestFit="1" customWidth="1"/>
    <col min="11530" max="11530" width="10" style="12" customWidth="1"/>
    <col min="11531" max="11533" width="0" style="12" hidden="1" customWidth="1"/>
    <col min="11534" max="11534" width="2.140625" style="12" customWidth="1"/>
    <col min="11535" max="11535" width="11" style="12" bestFit="1" customWidth="1"/>
    <col min="11536" max="11536" width="3.85546875" style="12" customWidth="1"/>
    <col min="11537" max="11537" width="11.85546875" style="12" bestFit="1" customWidth="1"/>
    <col min="11538" max="11538" width="6.28515625" style="12" bestFit="1" customWidth="1"/>
    <col min="11539" max="11776" width="9.140625" style="12"/>
    <col min="11777" max="11777" width="34.28515625" style="12" customWidth="1"/>
    <col min="11778" max="11785" width="10" style="12" bestFit="1" customWidth="1"/>
    <col min="11786" max="11786" width="10" style="12" customWidth="1"/>
    <col min="11787" max="11789" width="0" style="12" hidden="1" customWidth="1"/>
    <col min="11790" max="11790" width="2.140625" style="12" customWidth="1"/>
    <col min="11791" max="11791" width="11" style="12" bestFit="1" customWidth="1"/>
    <col min="11792" max="11792" width="3.85546875" style="12" customWidth="1"/>
    <col min="11793" max="11793" width="11.85546875" style="12" bestFit="1" customWidth="1"/>
    <col min="11794" max="11794" width="6.28515625" style="12" bestFit="1" customWidth="1"/>
    <col min="11795" max="12032" width="9.140625" style="12"/>
    <col min="12033" max="12033" width="34.28515625" style="12" customWidth="1"/>
    <col min="12034" max="12041" width="10" style="12" bestFit="1" customWidth="1"/>
    <col min="12042" max="12042" width="10" style="12" customWidth="1"/>
    <col min="12043" max="12045" width="0" style="12" hidden="1" customWidth="1"/>
    <col min="12046" max="12046" width="2.140625" style="12" customWidth="1"/>
    <col min="12047" max="12047" width="11" style="12" bestFit="1" customWidth="1"/>
    <col min="12048" max="12048" width="3.85546875" style="12" customWidth="1"/>
    <col min="12049" max="12049" width="11.85546875" style="12" bestFit="1" customWidth="1"/>
    <col min="12050" max="12050" width="6.28515625" style="12" bestFit="1" customWidth="1"/>
    <col min="12051" max="12288" width="9.140625" style="12"/>
    <col min="12289" max="12289" width="34.28515625" style="12" customWidth="1"/>
    <col min="12290" max="12297" width="10" style="12" bestFit="1" customWidth="1"/>
    <col min="12298" max="12298" width="10" style="12" customWidth="1"/>
    <col min="12299" max="12301" width="0" style="12" hidden="1" customWidth="1"/>
    <col min="12302" max="12302" width="2.140625" style="12" customWidth="1"/>
    <col min="12303" max="12303" width="11" style="12" bestFit="1" customWidth="1"/>
    <col min="12304" max="12304" width="3.85546875" style="12" customWidth="1"/>
    <col min="12305" max="12305" width="11.85546875" style="12" bestFit="1" customWidth="1"/>
    <col min="12306" max="12306" width="6.28515625" style="12" bestFit="1" customWidth="1"/>
    <col min="12307" max="12544" width="9.140625" style="12"/>
    <col min="12545" max="12545" width="34.28515625" style="12" customWidth="1"/>
    <col min="12546" max="12553" width="10" style="12" bestFit="1" customWidth="1"/>
    <col min="12554" max="12554" width="10" style="12" customWidth="1"/>
    <col min="12555" max="12557" width="0" style="12" hidden="1" customWidth="1"/>
    <col min="12558" max="12558" width="2.140625" style="12" customWidth="1"/>
    <col min="12559" max="12559" width="11" style="12" bestFit="1" customWidth="1"/>
    <col min="12560" max="12560" width="3.85546875" style="12" customWidth="1"/>
    <col min="12561" max="12561" width="11.85546875" style="12" bestFit="1" customWidth="1"/>
    <col min="12562" max="12562" width="6.28515625" style="12" bestFit="1" customWidth="1"/>
    <col min="12563" max="12800" width="9.140625" style="12"/>
    <col min="12801" max="12801" width="34.28515625" style="12" customWidth="1"/>
    <col min="12802" max="12809" width="10" style="12" bestFit="1" customWidth="1"/>
    <col min="12810" max="12810" width="10" style="12" customWidth="1"/>
    <col min="12811" max="12813" width="0" style="12" hidden="1" customWidth="1"/>
    <col min="12814" max="12814" width="2.140625" style="12" customWidth="1"/>
    <col min="12815" max="12815" width="11" style="12" bestFit="1" customWidth="1"/>
    <col min="12816" max="12816" width="3.85546875" style="12" customWidth="1"/>
    <col min="12817" max="12817" width="11.85546875" style="12" bestFit="1" customWidth="1"/>
    <col min="12818" max="12818" width="6.28515625" style="12" bestFit="1" customWidth="1"/>
    <col min="12819" max="13056" width="9.140625" style="12"/>
    <col min="13057" max="13057" width="34.28515625" style="12" customWidth="1"/>
    <col min="13058" max="13065" width="10" style="12" bestFit="1" customWidth="1"/>
    <col min="13066" max="13066" width="10" style="12" customWidth="1"/>
    <col min="13067" max="13069" width="0" style="12" hidden="1" customWidth="1"/>
    <col min="13070" max="13070" width="2.140625" style="12" customWidth="1"/>
    <col min="13071" max="13071" width="11" style="12" bestFit="1" customWidth="1"/>
    <col min="13072" max="13072" width="3.85546875" style="12" customWidth="1"/>
    <col min="13073" max="13073" width="11.85546875" style="12" bestFit="1" customWidth="1"/>
    <col min="13074" max="13074" width="6.28515625" style="12" bestFit="1" customWidth="1"/>
    <col min="13075" max="13312" width="9.140625" style="12"/>
    <col min="13313" max="13313" width="34.28515625" style="12" customWidth="1"/>
    <col min="13314" max="13321" width="10" style="12" bestFit="1" customWidth="1"/>
    <col min="13322" max="13322" width="10" style="12" customWidth="1"/>
    <col min="13323" max="13325" width="0" style="12" hidden="1" customWidth="1"/>
    <col min="13326" max="13326" width="2.140625" style="12" customWidth="1"/>
    <col min="13327" max="13327" width="11" style="12" bestFit="1" customWidth="1"/>
    <col min="13328" max="13328" width="3.85546875" style="12" customWidth="1"/>
    <col min="13329" max="13329" width="11.85546875" style="12" bestFit="1" customWidth="1"/>
    <col min="13330" max="13330" width="6.28515625" style="12" bestFit="1" customWidth="1"/>
    <col min="13331" max="13568" width="9.140625" style="12"/>
    <col min="13569" max="13569" width="34.28515625" style="12" customWidth="1"/>
    <col min="13570" max="13577" width="10" style="12" bestFit="1" customWidth="1"/>
    <col min="13578" max="13578" width="10" style="12" customWidth="1"/>
    <col min="13579" max="13581" width="0" style="12" hidden="1" customWidth="1"/>
    <col min="13582" max="13582" width="2.140625" style="12" customWidth="1"/>
    <col min="13583" max="13583" width="11" style="12" bestFit="1" customWidth="1"/>
    <col min="13584" max="13584" width="3.85546875" style="12" customWidth="1"/>
    <col min="13585" max="13585" width="11.85546875" style="12" bestFit="1" customWidth="1"/>
    <col min="13586" max="13586" width="6.28515625" style="12" bestFit="1" customWidth="1"/>
    <col min="13587" max="13824" width="9.140625" style="12"/>
    <col min="13825" max="13825" width="34.28515625" style="12" customWidth="1"/>
    <col min="13826" max="13833" width="10" style="12" bestFit="1" customWidth="1"/>
    <col min="13834" max="13834" width="10" style="12" customWidth="1"/>
    <col min="13835" max="13837" width="0" style="12" hidden="1" customWidth="1"/>
    <col min="13838" max="13838" width="2.140625" style="12" customWidth="1"/>
    <col min="13839" max="13839" width="11" style="12" bestFit="1" customWidth="1"/>
    <col min="13840" max="13840" width="3.85546875" style="12" customWidth="1"/>
    <col min="13841" max="13841" width="11.85546875" style="12" bestFit="1" customWidth="1"/>
    <col min="13842" max="13842" width="6.28515625" style="12" bestFit="1" customWidth="1"/>
    <col min="13843" max="14080" width="9.140625" style="12"/>
    <col min="14081" max="14081" width="34.28515625" style="12" customWidth="1"/>
    <col min="14082" max="14089" width="10" style="12" bestFit="1" customWidth="1"/>
    <col min="14090" max="14090" width="10" style="12" customWidth="1"/>
    <col min="14091" max="14093" width="0" style="12" hidden="1" customWidth="1"/>
    <col min="14094" max="14094" width="2.140625" style="12" customWidth="1"/>
    <col min="14095" max="14095" width="11" style="12" bestFit="1" customWidth="1"/>
    <col min="14096" max="14096" width="3.85546875" style="12" customWidth="1"/>
    <col min="14097" max="14097" width="11.85546875" style="12" bestFit="1" customWidth="1"/>
    <col min="14098" max="14098" width="6.28515625" style="12" bestFit="1" customWidth="1"/>
    <col min="14099" max="14336" width="9.140625" style="12"/>
    <col min="14337" max="14337" width="34.28515625" style="12" customWidth="1"/>
    <col min="14338" max="14345" width="10" style="12" bestFit="1" customWidth="1"/>
    <col min="14346" max="14346" width="10" style="12" customWidth="1"/>
    <col min="14347" max="14349" width="0" style="12" hidden="1" customWidth="1"/>
    <col min="14350" max="14350" width="2.140625" style="12" customWidth="1"/>
    <col min="14351" max="14351" width="11" style="12" bestFit="1" customWidth="1"/>
    <col min="14352" max="14352" width="3.85546875" style="12" customWidth="1"/>
    <col min="14353" max="14353" width="11.85546875" style="12" bestFit="1" customWidth="1"/>
    <col min="14354" max="14354" width="6.28515625" style="12" bestFit="1" customWidth="1"/>
    <col min="14355" max="14592" width="9.140625" style="12"/>
    <col min="14593" max="14593" width="34.28515625" style="12" customWidth="1"/>
    <col min="14594" max="14601" width="10" style="12" bestFit="1" customWidth="1"/>
    <col min="14602" max="14602" width="10" style="12" customWidth="1"/>
    <col min="14603" max="14605" width="0" style="12" hidden="1" customWidth="1"/>
    <col min="14606" max="14606" width="2.140625" style="12" customWidth="1"/>
    <col min="14607" max="14607" width="11" style="12" bestFit="1" customWidth="1"/>
    <col min="14608" max="14608" width="3.85546875" style="12" customWidth="1"/>
    <col min="14609" max="14609" width="11.85546875" style="12" bestFit="1" customWidth="1"/>
    <col min="14610" max="14610" width="6.28515625" style="12" bestFit="1" customWidth="1"/>
    <col min="14611" max="14848" width="9.140625" style="12"/>
    <col min="14849" max="14849" width="34.28515625" style="12" customWidth="1"/>
    <col min="14850" max="14857" width="10" style="12" bestFit="1" customWidth="1"/>
    <col min="14858" max="14858" width="10" style="12" customWidth="1"/>
    <col min="14859" max="14861" width="0" style="12" hidden="1" customWidth="1"/>
    <col min="14862" max="14862" width="2.140625" style="12" customWidth="1"/>
    <col min="14863" max="14863" width="11" style="12" bestFit="1" customWidth="1"/>
    <col min="14864" max="14864" width="3.85546875" style="12" customWidth="1"/>
    <col min="14865" max="14865" width="11.85546875" style="12" bestFit="1" customWidth="1"/>
    <col min="14866" max="14866" width="6.28515625" style="12" bestFit="1" customWidth="1"/>
    <col min="14867" max="15104" width="9.140625" style="12"/>
    <col min="15105" max="15105" width="34.28515625" style="12" customWidth="1"/>
    <col min="15106" max="15113" width="10" style="12" bestFit="1" customWidth="1"/>
    <col min="15114" max="15114" width="10" style="12" customWidth="1"/>
    <col min="15115" max="15117" width="0" style="12" hidden="1" customWidth="1"/>
    <col min="15118" max="15118" width="2.140625" style="12" customWidth="1"/>
    <col min="15119" max="15119" width="11" style="12" bestFit="1" customWidth="1"/>
    <col min="15120" max="15120" width="3.85546875" style="12" customWidth="1"/>
    <col min="15121" max="15121" width="11.85546875" style="12" bestFit="1" customWidth="1"/>
    <col min="15122" max="15122" width="6.28515625" style="12" bestFit="1" customWidth="1"/>
    <col min="15123" max="15360" width="9.140625" style="12"/>
    <col min="15361" max="15361" width="34.28515625" style="12" customWidth="1"/>
    <col min="15362" max="15369" width="10" style="12" bestFit="1" customWidth="1"/>
    <col min="15370" max="15370" width="10" style="12" customWidth="1"/>
    <col min="15371" max="15373" width="0" style="12" hidden="1" customWidth="1"/>
    <col min="15374" max="15374" width="2.140625" style="12" customWidth="1"/>
    <col min="15375" max="15375" width="11" style="12" bestFit="1" customWidth="1"/>
    <col min="15376" max="15376" width="3.85546875" style="12" customWidth="1"/>
    <col min="15377" max="15377" width="11.85546875" style="12" bestFit="1" customWidth="1"/>
    <col min="15378" max="15378" width="6.28515625" style="12" bestFit="1" customWidth="1"/>
    <col min="15379" max="15616" width="9.140625" style="12"/>
    <col min="15617" max="15617" width="34.28515625" style="12" customWidth="1"/>
    <col min="15618" max="15625" width="10" style="12" bestFit="1" customWidth="1"/>
    <col min="15626" max="15626" width="10" style="12" customWidth="1"/>
    <col min="15627" max="15629" width="0" style="12" hidden="1" customWidth="1"/>
    <col min="15630" max="15630" width="2.140625" style="12" customWidth="1"/>
    <col min="15631" max="15631" width="11" style="12" bestFit="1" customWidth="1"/>
    <col min="15632" max="15632" width="3.85546875" style="12" customWidth="1"/>
    <col min="15633" max="15633" width="11.85546875" style="12" bestFit="1" customWidth="1"/>
    <col min="15634" max="15634" width="6.28515625" style="12" bestFit="1" customWidth="1"/>
    <col min="15635" max="15872" width="9.140625" style="12"/>
    <col min="15873" max="15873" width="34.28515625" style="12" customWidth="1"/>
    <col min="15874" max="15881" width="10" style="12" bestFit="1" customWidth="1"/>
    <col min="15882" max="15882" width="10" style="12" customWidth="1"/>
    <col min="15883" max="15885" width="0" style="12" hidden="1" customWidth="1"/>
    <col min="15886" max="15886" width="2.140625" style="12" customWidth="1"/>
    <col min="15887" max="15887" width="11" style="12" bestFit="1" customWidth="1"/>
    <col min="15888" max="15888" width="3.85546875" style="12" customWidth="1"/>
    <col min="15889" max="15889" width="11.85546875" style="12" bestFit="1" customWidth="1"/>
    <col min="15890" max="15890" width="6.28515625" style="12" bestFit="1" customWidth="1"/>
    <col min="15891" max="16128" width="9.140625" style="12"/>
    <col min="16129" max="16129" width="34.28515625" style="12" customWidth="1"/>
    <col min="16130" max="16137" width="10" style="12" bestFit="1" customWidth="1"/>
    <col min="16138" max="16138" width="10" style="12" customWidth="1"/>
    <col min="16139" max="16141" width="0" style="12" hidden="1" customWidth="1"/>
    <col min="16142" max="16142" width="2.140625" style="12" customWidth="1"/>
    <col min="16143" max="16143" width="11" style="12" bestFit="1" customWidth="1"/>
    <col min="16144" max="16144" width="3.85546875" style="12" customWidth="1"/>
    <col min="16145" max="16145" width="11.85546875" style="12" bestFit="1" customWidth="1"/>
    <col min="16146" max="16146" width="6.28515625" style="12" bestFit="1" customWidth="1"/>
    <col min="16147" max="16384" width="9.140625" style="12"/>
  </cols>
  <sheetData>
    <row r="1" spans="1:18" s="5" customFormat="1" x14ac:dyDescent="0.2">
      <c r="A1" s="2" t="s">
        <v>306</v>
      </c>
      <c r="B1" s="3" t="s">
        <v>218</v>
      </c>
      <c r="C1" s="3" t="s">
        <v>219</v>
      </c>
      <c r="D1" s="3" t="s">
        <v>220</v>
      </c>
      <c r="E1" s="3" t="s">
        <v>221</v>
      </c>
      <c r="F1" s="3" t="s">
        <v>222</v>
      </c>
      <c r="G1" s="3" t="s">
        <v>223</v>
      </c>
      <c r="H1" s="3" t="s">
        <v>224</v>
      </c>
      <c r="I1" s="3" t="s">
        <v>225</v>
      </c>
      <c r="J1" s="3" t="s">
        <v>226</v>
      </c>
      <c r="K1" s="3" t="s">
        <v>227</v>
      </c>
      <c r="L1" s="3" t="s">
        <v>228</v>
      </c>
      <c r="M1" s="3" t="s">
        <v>229</v>
      </c>
      <c r="N1" s="4"/>
      <c r="O1" s="3" t="s">
        <v>307</v>
      </c>
      <c r="Q1" s="3" t="s">
        <v>231</v>
      </c>
      <c r="R1" s="3" t="s">
        <v>232</v>
      </c>
    </row>
    <row r="2" spans="1:18" s="5" customFormat="1" hidden="1" x14ac:dyDescent="0.2">
      <c r="A2" s="6"/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4"/>
      <c r="O2" s="7"/>
      <c r="Q2" s="7" t="e">
        <f>#REF!</f>
        <v>#REF!</v>
      </c>
      <c r="R2" s="7"/>
    </row>
    <row r="3" spans="1:18" s="5" customFormat="1" ht="21.75" customHeight="1" x14ac:dyDescent="0.2">
      <c r="A3" s="8" t="s">
        <v>279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Q3" s="4"/>
      <c r="R3" s="4"/>
    </row>
    <row r="4" spans="1:18" hidden="1" x14ac:dyDescent="0.2">
      <c r="A4" s="9" t="s">
        <v>121</v>
      </c>
      <c r="B4" s="10" t="e">
        <f>-SUMIFS(#REF!,#REF!,$A4,#REF!,B$2)</f>
        <v>#REF!</v>
      </c>
      <c r="C4" s="10" t="e">
        <f>-SUMIFS(#REF!,#REF!,$A4,#REF!,C$2)</f>
        <v>#REF!</v>
      </c>
      <c r="D4" s="10" t="e">
        <f>-SUMIFS(#REF!,#REF!,$A4,#REF!,D$2)</f>
        <v>#REF!</v>
      </c>
      <c r="E4" s="10" t="e">
        <f>-SUMIFS(#REF!,#REF!,$A4,#REF!,E$2)</f>
        <v>#REF!</v>
      </c>
      <c r="F4" s="10" t="e">
        <f>-SUMIFS(#REF!,#REF!,$A4,#REF!,F$2)</f>
        <v>#REF!</v>
      </c>
      <c r="G4" s="10" t="e">
        <f>-SUMIFS(#REF!,#REF!,$A4,#REF!,G$2)</f>
        <v>#REF!</v>
      </c>
      <c r="H4" s="10" t="e">
        <f>-SUMIFS(#REF!,#REF!,$A4,#REF!,H$2)</f>
        <v>#REF!</v>
      </c>
      <c r="I4" s="10" t="e">
        <f>-SUMIFS(#REF!,#REF!,$A4,#REF!,I$2)</f>
        <v>#REF!</v>
      </c>
      <c r="J4" s="10" t="e">
        <f>-SUMIFS(#REF!,#REF!,$A4,#REF!,J$2)</f>
        <v>#REF!</v>
      </c>
      <c r="K4" s="10" t="e">
        <f>-SUMIFS(#REF!,#REF!,$A4,#REF!,K$2)</f>
        <v>#REF!</v>
      </c>
      <c r="L4" s="10" t="e">
        <f>-SUMIFS(#REF!,#REF!,$A4,#REF!,L$2)</f>
        <v>#REF!</v>
      </c>
      <c r="M4" s="10" t="e">
        <f>-SUMIFS(#REF!,#REF!,$A4,#REF!,M$2)</f>
        <v>#REF!</v>
      </c>
      <c r="N4" s="11"/>
      <c r="O4" s="10" t="e">
        <f>SUM(B4:N4)</f>
        <v>#REF!</v>
      </c>
      <c r="Q4" s="10" t="e">
        <f>O4/$Q$2</f>
        <v>#REF!</v>
      </c>
      <c r="R4" s="19" t="e">
        <f t="shared" ref="R4:R17" si="0">O4/$O$18</f>
        <v>#REF!</v>
      </c>
    </row>
    <row r="5" spans="1:18" hidden="1" x14ac:dyDescent="0.2">
      <c r="A5" s="13" t="s">
        <v>123</v>
      </c>
      <c r="B5" s="10" t="e">
        <f>-SUMIFS(#REF!,#REF!,$A5,#REF!,B$2)</f>
        <v>#REF!</v>
      </c>
      <c r="C5" s="10" t="e">
        <f>-SUMIFS(#REF!,#REF!,$A5,#REF!,C$2)</f>
        <v>#REF!</v>
      </c>
      <c r="D5" s="10" t="e">
        <f>-SUMIFS(#REF!,#REF!,$A5,#REF!,D$2)</f>
        <v>#REF!</v>
      </c>
      <c r="E5" s="10" t="e">
        <f>-SUMIFS(#REF!,#REF!,$A5,#REF!,E$2)</f>
        <v>#REF!</v>
      </c>
      <c r="F5" s="10" t="e">
        <f>-SUMIFS(#REF!,#REF!,$A5,#REF!,F$2)</f>
        <v>#REF!</v>
      </c>
      <c r="G5" s="10" t="e">
        <f>-SUMIFS(#REF!,#REF!,$A5,#REF!,G$2)</f>
        <v>#REF!</v>
      </c>
      <c r="H5" s="10" t="e">
        <f>-SUMIFS(#REF!,#REF!,$A5,#REF!,H$2)</f>
        <v>#REF!</v>
      </c>
      <c r="I5" s="10" t="e">
        <f>-SUMIFS(#REF!,#REF!,$A5,#REF!,I$2)</f>
        <v>#REF!</v>
      </c>
      <c r="J5" s="10" t="e">
        <f>-SUMIFS(#REF!,#REF!,$A5,#REF!,J$2)</f>
        <v>#REF!</v>
      </c>
      <c r="K5" s="10" t="e">
        <f>-SUMIFS(#REF!,#REF!,$A5,#REF!,K$2)</f>
        <v>#REF!</v>
      </c>
      <c r="L5" s="10" t="e">
        <f>-SUMIFS(#REF!,#REF!,$A5,#REF!,L$2)</f>
        <v>#REF!</v>
      </c>
      <c r="M5" s="10" t="e">
        <f>-SUMIFS(#REF!,#REF!,$A5,#REF!,M$2)</f>
        <v>#REF!</v>
      </c>
      <c r="N5" s="14"/>
      <c r="O5" s="10" t="e">
        <f t="shared" ref="O5:O17" si="1">SUM(B5:N5)</f>
        <v>#REF!</v>
      </c>
      <c r="Q5" s="10" t="e">
        <f t="shared" ref="Q5:Q17" si="2">O5/$Q$2</f>
        <v>#REF!</v>
      </c>
      <c r="R5" s="19" t="e">
        <f t="shared" si="0"/>
        <v>#REF!</v>
      </c>
    </row>
    <row r="6" spans="1:18" hidden="1" x14ac:dyDescent="0.2">
      <c r="A6" s="13" t="s">
        <v>125</v>
      </c>
      <c r="B6" s="10" t="e">
        <f>-SUMIFS(#REF!,#REF!,$A6,#REF!,B$2)</f>
        <v>#REF!</v>
      </c>
      <c r="C6" s="10" t="e">
        <f>-SUMIFS(#REF!,#REF!,$A6,#REF!,C$2)</f>
        <v>#REF!</v>
      </c>
      <c r="D6" s="10" t="e">
        <f>-SUMIFS(#REF!,#REF!,$A6,#REF!,D$2)</f>
        <v>#REF!</v>
      </c>
      <c r="E6" s="10" t="e">
        <f>-SUMIFS(#REF!,#REF!,$A6,#REF!,E$2)</f>
        <v>#REF!</v>
      </c>
      <c r="F6" s="10" t="e">
        <f>-SUMIFS(#REF!,#REF!,$A6,#REF!,F$2)</f>
        <v>#REF!</v>
      </c>
      <c r="G6" s="10" t="e">
        <f>-SUMIFS(#REF!,#REF!,$A6,#REF!,G$2)</f>
        <v>#REF!</v>
      </c>
      <c r="H6" s="10" t="e">
        <f>-SUMIFS(#REF!,#REF!,$A6,#REF!,H$2)</f>
        <v>#REF!</v>
      </c>
      <c r="I6" s="10" t="e">
        <f>-SUMIFS(#REF!,#REF!,$A6,#REF!,I$2)</f>
        <v>#REF!</v>
      </c>
      <c r="J6" s="10" t="e">
        <f>-SUMIFS(#REF!,#REF!,$A6,#REF!,J$2)</f>
        <v>#REF!</v>
      </c>
      <c r="K6" s="10" t="e">
        <f>-SUMIFS(#REF!,#REF!,$A6,#REF!,K$2)</f>
        <v>#REF!</v>
      </c>
      <c r="L6" s="10" t="e">
        <f>-SUMIFS(#REF!,#REF!,$A6,#REF!,L$2)</f>
        <v>#REF!</v>
      </c>
      <c r="M6" s="10" t="e">
        <f>-SUMIFS(#REF!,#REF!,$A6,#REF!,M$2)</f>
        <v>#REF!</v>
      </c>
      <c r="N6" s="14"/>
      <c r="O6" s="10" t="e">
        <f t="shared" si="1"/>
        <v>#REF!</v>
      </c>
      <c r="Q6" s="10" t="e">
        <f t="shared" si="2"/>
        <v>#REF!</v>
      </c>
      <c r="R6" s="19" t="e">
        <f t="shared" si="0"/>
        <v>#REF!</v>
      </c>
    </row>
    <row r="7" spans="1:18" hidden="1" x14ac:dyDescent="0.2">
      <c r="A7" s="13" t="s">
        <v>127</v>
      </c>
      <c r="B7" s="10" t="e">
        <f>-SUMIFS(#REF!,#REF!,$A7,#REF!,B$2)</f>
        <v>#REF!</v>
      </c>
      <c r="C7" s="10" t="e">
        <f>-SUMIFS(#REF!,#REF!,$A7,#REF!,C$2)</f>
        <v>#REF!</v>
      </c>
      <c r="D7" s="10" t="e">
        <f>-SUMIFS(#REF!,#REF!,$A7,#REF!,D$2)</f>
        <v>#REF!</v>
      </c>
      <c r="E7" s="10" t="e">
        <f>-SUMIFS(#REF!,#REF!,$A7,#REF!,E$2)</f>
        <v>#REF!</v>
      </c>
      <c r="F7" s="10" t="e">
        <f>-SUMIFS(#REF!,#REF!,$A7,#REF!,F$2)</f>
        <v>#REF!</v>
      </c>
      <c r="G7" s="10" t="e">
        <f>-SUMIFS(#REF!,#REF!,$A7,#REF!,G$2)</f>
        <v>#REF!</v>
      </c>
      <c r="H7" s="10" t="e">
        <f>-SUMIFS(#REF!,#REF!,$A7,#REF!,H$2)</f>
        <v>#REF!</v>
      </c>
      <c r="I7" s="10" t="e">
        <f>-SUMIFS(#REF!,#REF!,$A7,#REF!,I$2)</f>
        <v>#REF!</v>
      </c>
      <c r="J7" s="10" t="e">
        <f>-SUMIFS(#REF!,#REF!,$A7,#REF!,J$2)</f>
        <v>#REF!</v>
      </c>
      <c r="K7" s="10" t="e">
        <f>-SUMIFS(#REF!,#REF!,$A7,#REF!,K$2)</f>
        <v>#REF!</v>
      </c>
      <c r="L7" s="10" t="e">
        <f>-SUMIFS(#REF!,#REF!,$A7,#REF!,L$2)</f>
        <v>#REF!</v>
      </c>
      <c r="M7" s="10" t="e">
        <f>-SUMIFS(#REF!,#REF!,$A7,#REF!,M$2)</f>
        <v>#REF!</v>
      </c>
      <c r="N7" s="14"/>
      <c r="O7" s="10" t="e">
        <f t="shared" si="1"/>
        <v>#REF!</v>
      </c>
      <c r="Q7" s="10" t="e">
        <f t="shared" si="2"/>
        <v>#REF!</v>
      </c>
      <c r="R7" s="19" t="e">
        <f t="shared" si="0"/>
        <v>#REF!</v>
      </c>
    </row>
    <row r="8" spans="1:18" hidden="1" x14ac:dyDescent="0.2">
      <c r="A8" s="13" t="s">
        <v>129</v>
      </c>
      <c r="B8" s="10" t="e">
        <f>-SUMIFS(#REF!,#REF!,$A8,#REF!,B$2)</f>
        <v>#REF!</v>
      </c>
      <c r="C8" s="10" t="e">
        <f>-SUMIFS(#REF!,#REF!,$A8,#REF!,C$2)</f>
        <v>#REF!</v>
      </c>
      <c r="D8" s="10" t="e">
        <f>-SUMIFS(#REF!,#REF!,$A8,#REF!,D$2)</f>
        <v>#REF!</v>
      </c>
      <c r="E8" s="10" t="e">
        <f>-SUMIFS(#REF!,#REF!,$A8,#REF!,E$2)</f>
        <v>#REF!</v>
      </c>
      <c r="F8" s="10" t="e">
        <f>-SUMIFS(#REF!,#REF!,$A8,#REF!,F$2)</f>
        <v>#REF!</v>
      </c>
      <c r="G8" s="10" t="e">
        <f>-SUMIFS(#REF!,#REF!,$A8,#REF!,G$2)</f>
        <v>#REF!</v>
      </c>
      <c r="H8" s="10" t="e">
        <f>-SUMIFS(#REF!,#REF!,$A8,#REF!,H$2)</f>
        <v>#REF!</v>
      </c>
      <c r="I8" s="10" t="e">
        <f>-SUMIFS(#REF!,#REF!,$A8,#REF!,I$2)</f>
        <v>#REF!</v>
      </c>
      <c r="J8" s="10" t="e">
        <f>-SUMIFS(#REF!,#REF!,$A8,#REF!,J$2)</f>
        <v>#REF!</v>
      </c>
      <c r="K8" s="10" t="e">
        <f>-SUMIFS(#REF!,#REF!,$A8,#REF!,K$2)</f>
        <v>#REF!</v>
      </c>
      <c r="L8" s="10" t="e">
        <f>-SUMIFS(#REF!,#REF!,$A8,#REF!,L$2)</f>
        <v>#REF!</v>
      </c>
      <c r="M8" s="10" t="e">
        <f>-SUMIFS(#REF!,#REF!,$A8,#REF!,M$2)</f>
        <v>#REF!</v>
      </c>
      <c r="N8" s="14"/>
      <c r="O8" s="10" t="e">
        <f t="shared" si="1"/>
        <v>#REF!</v>
      </c>
      <c r="Q8" s="10" t="e">
        <f t="shared" si="2"/>
        <v>#REF!</v>
      </c>
      <c r="R8" s="19" t="e">
        <f t="shared" si="0"/>
        <v>#REF!</v>
      </c>
    </row>
    <row r="9" spans="1:18" x14ac:dyDescent="0.2">
      <c r="A9" s="13" t="s">
        <v>215</v>
      </c>
      <c r="B9" s="10" t="e">
        <f>-SUMIFS(#REF!,#REF!,$A9,#REF!,B$2)</f>
        <v>#REF!</v>
      </c>
      <c r="C9" s="10" t="e">
        <f>-SUMIFS(#REF!,#REF!,$A9,#REF!,C$2)</f>
        <v>#REF!</v>
      </c>
      <c r="D9" s="10" t="e">
        <f>-SUMIFS(#REF!,#REF!,$A9,#REF!,D$2)</f>
        <v>#REF!</v>
      </c>
      <c r="E9" s="10" t="e">
        <f>-SUMIFS(#REF!,#REF!,$A9,#REF!,E$2)</f>
        <v>#REF!</v>
      </c>
      <c r="F9" s="10" t="e">
        <f>-SUMIFS(#REF!,#REF!,$A9,#REF!,F$2)</f>
        <v>#REF!</v>
      </c>
      <c r="G9" s="10" t="e">
        <f>-SUMIFS(#REF!,#REF!,$A9,#REF!,G$2)</f>
        <v>#REF!</v>
      </c>
      <c r="H9" s="10" t="e">
        <f>-SUMIFS(#REF!,#REF!,$A9,#REF!,H$2)</f>
        <v>#REF!</v>
      </c>
      <c r="I9" s="10" t="e">
        <f>-SUMIFS(#REF!,#REF!,$A9,#REF!,I$2)</f>
        <v>#REF!</v>
      </c>
      <c r="J9" s="10" t="e">
        <f>-SUMIFS(#REF!,#REF!,$A9,#REF!,J$2)</f>
        <v>#REF!</v>
      </c>
      <c r="K9" s="10" t="e">
        <f>-SUMIFS(#REF!,#REF!,$A9,#REF!,K$2)</f>
        <v>#REF!</v>
      </c>
      <c r="L9" s="10" t="e">
        <f>-SUMIFS(#REF!,#REF!,$A9,#REF!,L$2)</f>
        <v>#REF!</v>
      </c>
      <c r="M9" s="10" t="e">
        <f>-SUMIFS(#REF!,#REF!,$A9,#REF!,M$2)</f>
        <v>#REF!</v>
      </c>
      <c r="N9" s="14"/>
      <c r="O9" s="10" t="e">
        <f t="shared" si="1"/>
        <v>#REF!</v>
      </c>
      <c r="Q9" s="10" t="e">
        <f t="shared" si="2"/>
        <v>#REF!</v>
      </c>
      <c r="R9" s="19" t="e">
        <f t="shared" si="0"/>
        <v>#REF!</v>
      </c>
    </row>
    <row r="10" spans="1:18" hidden="1" x14ac:dyDescent="0.2">
      <c r="A10" s="13" t="s">
        <v>211</v>
      </c>
      <c r="B10" s="10" t="e">
        <f>-SUMIFS(#REF!,#REF!,$A10,#REF!,B$2)</f>
        <v>#REF!</v>
      </c>
      <c r="C10" s="10" t="e">
        <f>-SUMIFS(#REF!,#REF!,$A10,#REF!,C$2)</f>
        <v>#REF!</v>
      </c>
      <c r="D10" s="10" t="e">
        <f>-SUMIFS(#REF!,#REF!,$A10,#REF!,D$2)</f>
        <v>#REF!</v>
      </c>
      <c r="E10" s="10" t="e">
        <f>-SUMIFS(#REF!,#REF!,$A10,#REF!,E$2)</f>
        <v>#REF!</v>
      </c>
      <c r="F10" s="10" t="e">
        <f>-SUMIFS(#REF!,#REF!,$A10,#REF!,F$2)</f>
        <v>#REF!</v>
      </c>
      <c r="G10" s="10" t="e">
        <f>-SUMIFS(#REF!,#REF!,$A10,#REF!,G$2)</f>
        <v>#REF!</v>
      </c>
      <c r="H10" s="10" t="e">
        <f>-SUMIFS(#REF!,#REF!,$A10,#REF!,H$2)</f>
        <v>#REF!</v>
      </c>
      <c r="I10" s="10" t="e">
        <f>-SUMIFS(#REF!,#REF!,$A10,#REF!,I$2)</f>
        <v>#REF!</v>
      </c>
      <c r="J10" s="10" t="e">
        <f>-SUMIFS(#REF!,#REF!,$A10,#REF!,J$2)</f>
        <v>#REF!</v>
      </c>
      <c r="K10" s="10" t="e">
        <f>-SUMIFS(#REF!,#REF!,$A10,#REF!,K$2)</f>
        <v>#REF!</v>
      </c>
      <c r="L10" s="10" t="e">
        <f>-SUMIFS(#REF!,#REF!,$A10,#REF!,L$2)</f>
        <v>#REF!</v>
      </c>
      <c r="M10" s="10" t="e">
        <f>-SUMIFS(#REF!,#REF!,$A10,#REF!,M$2)</f>
        <v>#REF!</v>
      </c>
      <c r="N10" s="14"/>
      <c r="O10" s="10" t="e">
        <f t="shared" si="1"/>
        <v>#REF!</v>
      </c>
      <c r="Q10" s="10" t="e">
        <f t="shared" si="2"/>
        <v>#REF!</v>
      </c>
      <c r="R10" s="19" t="e">
        <f t="shared" si="0"/>
        <v>#REF!</v>
      </c>
    </row>
    <row r="11" spans="1:18" hidden="1" x14ac:dyDescent="0.2">
      <c r="A11" s="13" t="s">
        <v>130</v>
      </c>
      <c r="B11" s="10" t="e">
        <f>-SUMIFS(#REF!,#REF!,$A11,#REF!,B$2)</f>
        <v>#REF!</v>
      </c>
      <c r="C11" s="10" t="e">
        <f>-SUMIFS(#REF!,#REF!,$A11,#REF!,C$2)</f>
        <v>#REF!</v>
      </c>
      <c r="D11" s="10" t="e">
        <f>-SUMIFS(#REF!,#REF!,$A11,#REF!,D$2)</f>
        <v>#REF!</v>
      </c>
      <c r="E11" s="10" t="e">
        <f>-SUMIFS(#REF!,#REF!,$A11,#REF!,E$2)</f>
        <v>#REF!</v>
      </c>
      <c r="F11" s="10" t="e">
        <f>-SUMIFS(#REF!,#REF!,$A11,#REF!,F$2)</f>
        <v>#REF!</v>
      </c>
      <c r="G11" s="10" t="e">
        <f>-SUMIFS(#REF!,#REF!,$A11,#REF!,G$2)</f>
        <v>#REF!</v>
      </c>
      <c r="H11" s="10" t="e">
        <f>-SUMIFS(#REF!,#REF!,$A11,#REF!,H$2)</f>
        <v>#REF!</v>
      </c>
      <c r="I11" s="10" t="e">
        <f>-SUMIFS(#REF!,#REF!,$A11,#REF!,I$2)</f>
        <v>#REF!</v>
      </c>
      <c r="J11" s="10" t="e">
        <f>-SUMIFS(#REF!,#REF!,$A11,#REF!,J$2)</f>
        <v>#REF!</v>
      </c>
      <c r="K11" s="10" t="e">
        <f>-SUMIFS(#REF!,#REF!,$A11,#REF!,K$2)</f>
        <v>#REF!</v>
      </c>
      <c r="L11" s="10" t="e">
        <f>-SUMIFS(#REF!,#REF!,$A11,#REF!,L$2)</f>
        <v>#REF!</v>
      </c>
      <c r="M11" s="10" t="e">
        <f>-SUMIFS(#REF!,#REF!,$A11,#REF!,M$2)</f>
        <v>#REF!</v>
      </c>
      <c r="N11" s="14"/>
      <c r="O11" s="10" t="e">
        <f t="shared" si="1"/>
        <v>#REF!</v>
      </c>
      <c r="Q11" s="10" t="e">
        <f t="shared" si="2"/>
        <v>#REF!</v>
      </c>
      <c r="R11" s="19" t="e">
        <f t="shared" si="0"/>
        <v>#REF!</v>
      </c>
    </row>
    <row r="12" spans="1:18" hidden="1" x14ac:dyDescent="0.2">
      <c r="A12" s="13" t="s">
        <v>212</v>
      </c>
      <c r="B12" s="10" t="e">
        <f>-SUMIFS(#REF!,#REF!,$A12,#REF!,B$2)</f>
        <v>#REF!</v>
      </c>
      <c r="C12" s="10" t="e">
        <f>-SUMIFS(#REF!,#REF!,$A12,#REF!,C$2)</f>
        <v>#REF!</v>
      </c>
      <c r="D12" s="10" t="e">
        <f>-SUMIFS(#REF!,#REF!,$A12,#REF!,D$2)</f>
        <v>#REF!</v>
      </c>
      <c r="E12" s="10" t="e">
        <f>-SUMIFS(#REF!,#REF!,$A12,#REF!,E$2)</f>
        <v>#REF!</v>
      </c>
      <c r="F12" s="10" t="e">
        <f>-SUMIFS(#REF!,#REF!,$A12,#REF!,F$2)</f>
        <v>#REF!</v>
      </c>
      <c r="G12" s="10" t="e">
        <f>-SUMIFS(#REF!,#REF!,$A12,#REF!,G$2)</f>
        <v>#REF!</v>
      </c>
      <c r="H12" s="10" t="e">
        <f>-SUMIFS(#REF!,#REF!,$A12,#REF!,H$2)</f>
        <v>#REF!</v>
      </c>
      <c r="I12" s="10" t="e">
        <f>-SUMIFS(#REF!,#REF!,$A12,#REF!,I$2)</f>
        <v>#REF!</v>
      </c>
      <c r="J12" s="10" t="e">
        <f>-SUMIFS(#REF!,#REF!,$A12,#REF!,J$2)</f>
        <v>#REF!</v>
      </c>
      <c r="K12" s="10" t="e">
        <f>-SUMIFS(#REF!,#REF!,$A12,#REF!,K$2)</f>
        <v>#REF!</v>
      </c>
      <c r="L12" s="10" t="e">
        <f>-SUMIFS(#REF!,#REF!,$A12,#REF!,L$2)</f>
        <v>#REF!</v>
      </c>
      <c r="M12" s="10" t="e">
        <f>-SUMIFS(#REF!,#REF!,$A12,#REF!,M$2)</f>
        <v>#REF!</v>
      </c>
      <c r="N12" s="14"/>
      <c r="O12" s="10" t="e">
        <f t="shared" si="1"/>
        <v>#REF!</v>
      </c>
      <c r="Q12" s="10" t="e">
        <f t="shared" si="2"/>
        <v>#REF!</v>
      </c>
      <c r="R12" s="19" t="e">
        <f t="shared" si="0"/>
        <v>#REF!</v>
      </c>
    </row>
    <row r="13" spans="1:18" hidden="1" x14ac:dyDescent="0.2">
      <c r="A13" s="13" t="s">
        <v>213</v>
      </c>
      <c r="B13" s="10" t="e">
        <f>-SUMIFS(#REF!,#REF!,$A13,#REF!,B$2)</f>
        <v>#REF!</v>
      </c>
      <c r="C13" s="10" t="e">
        <f>-SUMIFS(#REF!,#REF!,$A13,#REF!,C$2)</f>
        <v>#REF!</v>
      </c>
      <c r="D13" s="10" t="e">
        <f>-SUMIFS(#REF!,#REF!,$A13,#REF!,D$2)</f>
        <v>#REF!</v>
      </c>
      <c r="E13" s="10" t="e">
        <f>-SUMIFS(#REF!,#REF!,$A13,#REF!,E$2)</f>
        <v>#REF!</v>
      </c>
      <c r="F13" s="10" t="e">
        <f>-SUMIFS(#REF!,#REF!,$A13,#REF!,F$2)</f>
        <v>#REF!</v>
      </c>
      <c r="G13" s="10" t="e">
        <f>-SUMIFS(#REF!,#REF!,$A13,#REF!,G$2)</f>
        <v>#REF!</v>
      </c>
      <c r="H13" s="10" t="e">
        <f>-SUMIFS(#REF!,#REF!,$A13,#REF!,H$2)</f>
        <v>#REF!</v>
      </c>
      <c r="I13" s="10" t="e">
        <f>-SUMIFS(#REF!,#REF!,$A13,#REF!,I$2)</f>
        <v>#REF!</v>
      </c>
      <c r="J13" s="10" t="e">
        <f>-SUMIFS(#REF!,#REF!,$A13,#REF!,J$2)</f>
        <v>#REF!</v>
      </c>
      <c r="K13" s="10" t="e">
        <f>-SUMIFS(#REF!,#REF!,$A13,#REF!,K$2)</f>
        <v>#REF!</v>
      </c>
      <c r="L13" s="10" t="e">
        <f>-SUMIFS(#REF!,#REF!,$A13,#REF!,L$2)</f>
        <v>#REF!</v>
      </c>
      <c r="M13" s="10" t="e">
        <f>-SUMIFS(#REF!,#REF!,$A13,#REF!,M$2)</f>
        <v>#REF!</v>
      </c>
      <c r="N13" s="14"/>
      <c r="O13" s="10" t="e">
        <f t="shared" si="1"/>
        <v>#REF!</v>
      </c>
      <c r="Q13" s="10" t="e">
        <f t="shared" si="2"/>
        <v>#REF!</v>
      </c>
      <c r="R13" s="19" t="e">
        <f t="shared" si="0"/>
        <v>#REF!</v>
      </c>
    </row>
    <row r="14" spans="1:18" hidden="1" x14ac:dyDescent="0.2">
      <c r="A14" s="13" t="s">
        <v>131</v>
      </c>
      <c r="B14" s="10" t="e">
        <f>-SUMIFS(#REF!,#REF!,$A14,#REF!,B$2)</f>
        <v>#REF!</v>
      </c>
      <c r="C14" s="10" t="e">
        <f>-SUMIFS(#REF!,#REF!,$A14,#REF!,C$2)</f>
        <v>#REF!</v>
      </c>
      <c r="D14" s="10" t="e">
        <f>-SUMIFS(#REF!,#REF!,$A14,#REF!,D$2)</f>
        <v>#REF!</v>
      </c>
      <c r="E14" s="10" t="e">
        <f>-SUMIFS(#REF!,#REF!,$A14,#REF!,E$2)</f>
        <v>#REF!</v>
      </c>
      <c r="F14" s="10" t="e">
        <f>-SUMIFS(#REF!,#REF!,$A14,#REF!,F$2)</f>
        <v>#REF!</v>
      </c>
      <c r="G14" s="10" t="e">
        <f>-SUMIFS(#REF!,#REF!,$A14,#REF!,G$2)</f>
        <v>#REF!</v>
      </c>
      <c r="H14" s="10" t="e">
        <f>-SUMIFS(#REF!,#REF!,$A14,#REF!,H$2)</f>
        <v>#REF!</v>
      </c>
      <c r="I14" s="10" t="e">
        <f>-SUMIFS(#REF!,#REF!,$A14,#REF!,I$2)</f>
        <v>#REF!</v>
      </c>
      <c r="J14" s="10" t="e">
        <f>-SUMIFS(#REF!,#REF!,$A14,#REF!,J$2)</f>
        <v>#REF!</v>
      </c>
      <c r="K14" s="10" t="e">
        <f>-SUMIFS(#REF!,#REF!,$A14,#REF!,K$2)</f>
        <v>#REF!</v>
      </c>
      <c r="L14" s="10" t="e">
        <f>-SUMIFS(#REF!,#REF!,$A14,#REF!,L$2)</f>
        <v>#REF!</v>
      </c>
      <c r="M14" s="10" t="e">
        <f>-SUMIFS(#REF!,#REF!,$A14,#REF!,M$2)</f>
        <v>#REF!</v>
      </c>
      <c r="N14" s="14"/>
      <c r="O14" s="10" t="e">
        <f t="shared" si="1"/>
        <v>#REF!</v>
      </c>
      <c r="Q14" s="10" t="e">
        <f t="shared" si="2"/>
        <v>#REF!</v>
      </c>
      <c r="R14" s="19" t="e">
        <f t="shared" si="0"/>
        <v>#REF!</v>
      </c>
    </row>
    <row r="15" spans="1:18" x14ac:dyDescent="0.2">
      <c r="A15" s="13" t="s">
        <v>132</v>
      </c>
      <c r="B15" s="10" t="e">
        <f>-SUMIFS(#REF!,#REF!,$A15,#REF!,B$2)</f>
        <v>#REF!</v>
      </c>
      <c r="C15" s="10" t="e">
        <f>-SUMIFS(#REF!,#REF!,$A15,#REF!,C$2)</f>
        <v>#REF!</v>
      </c>
      <c r="D15" s="10" t="e">
        <f>-SUMIFS(#REF!,#REF!,$A15,#REF!,D$2)</f>
        <v>#REF!</v>
      </c>
      <c r="E15" s="10" t="e">
        <f>-SUMIFS(#REF!,#REF!,$A15,#REF!,E$2)</f>
        <v>#REF!</v>
      </c>
      <c r="F15" s="10" t="e">
        <f>-SUMIFS(#REF!,#REF!,$A15,#REF!,F$2)</f>
        <v>#REF!</v>
      </c>
      <c r="G15" s="10" t="e">
        <f>-SUMIFS(#REF!,#REF!,$A15,#REF!,G$2)</f>
        <v>#REF!</v>
      </c>
      <c r="H15" s="10" t="e">
        <f>-SUMIFS(#REF!,#REF!,$A15,#REF!,H$2)</f>
        <v>#REF!</v>
      </c>
      <c r="I15" s="10" t="e">
        <f>-SUMIFS(#REF!,#REF!,$A15,#REF!,I$2)</f>
        <v>#REF!</v>
      </c>
      <c r="J15" s="10" t="e">
        <f>-SUMIFS(#REF!,#REF!,$A15,#REF!,J$2)</f>
        <v>#REF!</v>
      </c>
      <c r="K15" s="10" t="e">
        <f>-SUMIFS(#REF!,#REF!,$A15,#REF!,K$2)</f>
        <v>#REF!</v>
      </c>
      <c r="L15" s="10" t="e">
        <f>-SUMIFS(#REF!,#REF!,$A15,#REF!,L$2)</f>
        <v>#REF!</v>
      </c>
      <c r="M15" s="10" t="e">
        <f>-SUMIFS(#REF!,#REF!,$A15,#REF!,M$2)</f>
        <v>#REF!</v>
      </c>
      <c r="N15" s="14"/>
      <c r="O15" s="10" t="e">
        <f t="shared" si="1"/>
        <v>#REF!</v>
      </c>
      <c r="Q15" s="10" t="e">
        <f t="shared" si="2"/>
        <v>#REF!</v>
      </c>
      <c r="R15" s="19" t="e">
        <f t="shared" si="0"/>
        <v>#REF!</v>
      </c>
    </row>
    <row r="16" spans="1:18" hidden="1" x14ac:dyDescent="0.2">
      <c r="A16" s="13" t="s">
        <v>133</v>
      </c>
      <c r="B16" s="10" t="e">
        <f>-SUMIFS(#REF!,#REF!,$A16,#REF!,B$2)</f>
        <v>#REF!</v>
      </c>
      <c r="C16" s="10" t="e">
        <f>-SUMIFS(#REF!,#REF!,$A16,#REF!,C$2)</f>
        <v>#REF!</v>
      </c>
      <c r="D16" s="10" t="e">
        <f>-SUMIFS(#REF!,#REF!,$A16,#REF!,D$2)</f>
        <v>#REF!</v>
      </c>
      <c r="E16" s="10" t="e">
        <f>-SUMIFS(#REF!,#REF!,$A16,#REF!,E$2)</f>
        <v>#REF!</v>
      </c>
      <c r="F16" s="10" t="e">
        <f>-SUMIFS(#REF!,#REF!,$A16,#REF!,F$2)</f>
        <v>#REF!</v>
      </c>
      <c r="G16" s="10" t="e">
        <f>-SUMIFS(#REF!,#REF!,$A16,#REF!,G$2)</f>
        <v>#REF!</v>
      </c>
      <c r="H16" s="10" t="e">
        <f>-SUMIFS(#REF!,#REF!,$A16,#REF!,H$2)</f>
        <v>#REF!</v>
      </c>
      <c r="I16" s="10" t="e">
        <f>-SUMIFS(#REF!,#REF!,$A16,#REF!,I$2)</f>
        <v>#REF!</v>
      </c>
      <c r="J16" s="10" t="e">
        <f>-SUMIFS(#REF!,#REF!,$A16,#REF!,J$2)</f>
        <v>#REF!</v>
      </c>
      <c r="K16" s="10" t="e">
        <f>-SUMIFS(#REF!,#REF!,$A16,#REF!,K$2)</f>
        <v>#REF!</v>
      </c>
      <c r="L16" s="10" t="e">
        <f>-SUMIFS(#REF!,#REF!,$A16,#REF!,L$2)</f>
        <v>#REF!</v>
      </c>
      <c r="M16" s="10" t="e">
        <f>-SUMIFS(#REF!,#REF!,$A16,#REF!,M$2)</f>
        <v>#REF!</v>
      </c>
      <c r="N16" s="14"/>
      <c r="O16" s="10" t="e">
        <f t="shared" si="1"/>
        <v>#REF!</v>
      </c>
      <c r="Q16" s="10" t="e">
        <f t="shared" si="2"/>
        <v>#REF!</v>
      </c>
      <c r="R16" s="19" t="e">
        <f t="shared" si="0"/>
        <v>#REF!</v>
      </c>
    </row>
    <row r="17" spans="1:18" hidden="1" x14ac:dyDescent="0.2">
      <c r="A17" s="13" t="s">
        <v>203</v>
      </c>
      <c r="B17" s="10" t="e">
        <f>-SUMIFS(#REF!,#REF!,$A17,#REF!,B$2)</f>
        <v>#REF!</v>
      </c>
      <c r="C17" s="10" t="e">
        <f>-SUMIFS(#REF!,#REF!,$A17,#REF!,C$2)</f>
        <v>#REF!</v>
      </c>
      <c r="D17" s="10" t="e">
        <f>-SUMIFS(#REF!,#REF!,$A17,#REF!,D$2)</f>
        <v>#REF!</v>
      </c>
      <c r="E17" s="10" t="e">
        <f>-SUMIFS(#REF!,#REF!,$A17,#REF!,E$2)</f>
        <v>#REF!</v>
      </c>
      <c r="F17" s="10" t="e">
        <f>-SUMIFS(#REF!,#REF!,$A17,#REF!,F$2)</f>
        <v>#REF!</v>
      </c>
      <c r="G17" s="10" t="e">
        <f>-SUMIFS(#REF!,#REF!,$A17,#REF!,G$2)</f>
        <v>#REF!</v>
      </c>
      <c r="H17" s="10" t="e">
        <f>-SUMIFS(#REF!,#REF!,$A17,#REF!,H$2)</f>
        <v>#REF!</v>
      </c>
      <c r="I17" s="10" t="e">
        <f>-SUMIFS(#REF!,#REF!,$A17,#REF!,I$2)</f>
        <v>#REF!</v>
      </c>
      <c r="J17" s="10" t="e">
        <f>-SUMIFS(#REF!,#REF!,$A17,#REF!,J$2)</f>
        <v>#REF!</v>
      </c>
      <c r="K17" s="10" t="e">
        <f>-SUMIFS(#REF!,#REF!,$A17,#REF!,K$2)</f>
        <v>#REF!</v>
      </c>
      <c r="L17" s="10" t="e">
        <f>-SUMIFS(#REF!,#REF!,$A17,#REF!,L$2)</f>
        <v>#REF!</v>
      </c>
      <c r="M17" s="10" t="e">
        <f>-SUMIFS(#REF!,#REF!,$A17,#REF!,M$2)</f>
        <v>#REF!</v>
      </c>
      <c r="N17" s="14"/>
      <c r="O17" s="10" t="e">
        <f t="shared" si="1"/>
        <v>#REF!</v>
      </c>
      <c r="Q17" s="10" t="e">
        <f t="shared" si="2"/>
        <v>#REF!</v>
      </c>
      <c r="R17" s="19" t="e">
        <f t="shared" si="0"/>
        <v>#REF!</v>
      </c>
    </row>
    <row r="18" spans="1:18" s="5" customFormat="1" x14ac:dyDescent="0.2">
      <c r="A18" s="15" t="s">
        <v>277</v>
      </c>
      <c r="B18" s="16" t="e">
        <f t="shared" ref="B18:M18" si="3">SUM(B4:B17)</f>
        <v>#REF!</v>
      </c>
      <c r="C18" s="16" t="e">
        <f t="shared" si="3"/>
        <v>#REF!</v>
      </c>
      <c r="D18" s="16" t="e">
        <f t="shared" si="3"/>
        <v>#REF!</v>
      </c>
      <c r="E18" s="16" t="e">
        <f t="shared" si="3"/>
        <v>#REF!</v>
      </c>
      <c r="F18" s="16" t="e">
        <f t="shared" si="3"/>
        <v>#REF!</v>
      </c>
      <c r="G18" s="16" t="e">
        <f t="shared" si="3"/>
        <v>#REF!</v>
      </c>
      <c r="H18" s="16" t="e">
        <f t="shared" si="3"/>
        <v>#REF!</v>
      </c>
      <c r="I18" s="16" t="e">
        <f t="shared" si="3"/>
        <v>#REF!</v>
      </c>
      <c r="J18" s="16" t="e">
        <f t="shared" si="3"/>
        <v>#REF!</v>
      </c>
      <c r="K18" s="16" t="e">
        <f t="shared" si="3"/>
        <v>#REF!</v>
      </c>
      <c r="L18" s="16" t="e">
        <f t="shared" si="3"/>
        <v>#REF!</v>
      </c>
      <c r="M18" s="16" t="e">
        <f t="shared" si="3"/>
        <v>#REF!</v>
      </c>
      <c r="N18" s="17"/>
      <c r="O18" s="16" t="e">
        <f>SUM(O4:O17)</f>
        <v>#REF!</v>
      </c>
      <c r="Q18" s="22" t="e">
        <f>O18/$Q$2</f>
        <v>#REF!</v>
      </c>
      <c r="R18" s="23" t="e">
        <f>SUM(R4:R17)</f>
        <v>#REF!</v>
      </c>
    </row>
    <row r="19" spans="1:18" s="5" customFormat="1" x14ac:dyDescent="0.2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8" hidden="1" x14ac:dyDescent="0.2">
      <c r="A20" s="8" t="s">
        <v>278</v>
      </c>
    </row>
    <row r="21" spans="1:18" hidden="1" x14ac:dyDescent="0.2">
      <c r="A21" s="25" t="s">
        <v>206</v>
      </c>
      <c r="B21" s="26" t="e">
        <f>SUMIFS(#REF!,#REF!,$A21,#REF!,B$2)</f>
        <v>#REF!</v>
      </c>
      <c r="C21" s="26" t="e">
        <f>SUMIFS(#REF!,#REF!,$A21,#REF!,C$2)</f>
        <v>#REF!</v>
      </c>
      <c r="D21" s="26" t="e">
        <f>SUMIFS(#REF!,#REF!,$A21,#REF!,D$2)</f>
        <v>#REF!</v>
      </c>
      <c r="E21" s="26" t="e">
        <f>SUMIFS(#REF!,#REF!,$A21,#REF!,E$2)</f>
        <v>#REF!</v>
      </c>
      <c r="F21" s="26" t="e">
        <f>SUMIFS(#REF!,#REF!,$A21,#REF!,F$2)</f>
        <v>#REF!</v>
      </c>
      <c r="G21" s="26" t="e">
        <f>SUMIFS(#REF!,#REF!,$A21,#REF!,G$2)</f>
        <v>#REF!</v>
      </c>
      <c r="H21" s="26" t="e">
        <f>SUMIFS(#REF!,#REF!,$A21,#REF!,H$2)</f>
        <v>#REF!</v>
      </c>
      <c r="I21" s="26" t="e">
        <f>SUMIFS(#REF!,#REF!,$A21,#REF!,I$2)</f>
        <v>#REF!</v>
      </c>
      <c r="J21" s="26" t="e">
        <f>SUMIFS(#REF!,#REF!,$A21,#REF!,J$2)</f>
        <v>#REF!</v>
      </c>
      <c r="K21" s="26" t="e">
        <f>SUMIFS(#REF!,#REF!,$A21,#REF!,K$2)</f>
        <v>#REF!</v>
      </c>
      <c r="L21" s="26" t="e">
        <f>SUMIFS(#REF!,#REF!,$A21,#REF!,L$2)</f>
        <v>#REF!</v>
      </c>
      <c r="M21" s="26" t="e">
        <f>SUMIFS(#REF!,#REF!,$A21,#REF!,M$2)</f>
        <v>#REF!</v>
      </c>
      <c r="N21" s="14"/>
      <c r="O21" s="26" t="e">
        <f t="shared" ref="O21" si="4">SUM(B21:N21)</f>
        <v>#REF!</v>
      </c>
      <c r="Q21" s="26" t="e">
        <f t="shared" ref="Q21" si="5">O21/$Q$2</f>
        <v>#REF!</v>
      </c>
    </row>
    <row r="22" spans="1:18" ht="16.5" hidden="1" customHeight="1" x14ac:dyDescent="0.2"/>
    <row r="23" spans="1:18" hidden="1" x14ac:dyDescent="0.2">
      <c r="A23" s="21" t="s">
        <v>280</v>
      </c>
      <c r="B23" s="20" t="e">
        <f>B18-B21</f>
        <v>#REF!</v>
      </c>
      <c r="C23" s="20" t="e">
        <f t="shared" ref="C23:Q23" si="6">C18-C21</f>
        <v>#REF!</v>
      </c>
      <c r="D23" s="20" t="e">
        <f t="shared" si="6"/>
        <v>#REF!</v>
      </c>
      <c r="E23" s="20" t="e">
        <f t="shared" si="6"/>
        <v>#REF!</v>
      </c>
      <c r="F23" s="20" t="e">
        <f t="shared" si="6"/>
        <v>#REF!</v>
      </c>
      <c r="G23" s="20" t="e">
        <f t="shared" si="6"/>
        <v>#REF!</v>
      </c>
      <c r="H23" s="20" t="e">
        <f t="shared" si="6"/>
        <v>#REF!</v>
      </c>
      <c r="I23" s="20" t="e">
        <f t="shared" si="6"/>
        <v>#REF!</v>
      </c>
      <c r="J23" s="20" t="e">
        <f t="shared" si="6"/>
        <v>#REF!</v>
      </c>
      <c r="K23" s="20" t="e">
        <f t="shared" si="6"/>
        <v>#REF!</v>
      </c>
      <c r="L23" s="20" t="e">
        <f t="shared" si="6"/>
        <v>#REF!</v>
      </c>
      <c r="M23" s="20" t="e">
        <f t="shared" si="6"/>
        <v>#REF!</v>
      </c>
      <c r="O23" s="20" t="e">
        <f t="shared" si="6"/>
        <v>#REF!</v>
      </c>
      <c r="Q23" s="20" t="e">
        <f t="shared" si="6"/>
        <v>#REF!</v>
      </c>
    </row>
  </sheetData>
  <printOptions horizontalCentered="1"/>
  <pageMargins left="0.51181102362204722" right="0.51181102362204722" top="1.3779527559055118" bottom="0.39370078740157483" header="0.78740157480314965" footer="0"/>
  <pageSetup paperSize="9" scale="110" orientation="landscape" r:id="rId1"/>
  <headerFooter>
    <oddHeader>&amp;C&amp;"-,Negrito"&amp;28ASSOCIAÇÃO DAS IGREJAS DA OBRA REGIONAL - REGIÃO 06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I33"/>
  <sheetViews>
    <sheetView showGridLines="0" workbookViewId="0">
      <selection activeCell="C35" sqref="C35"/>
    </sheetView>
  </sheetViews>
  <sheetFormatPr defaultRowHeight="12.75" x14ac:dyDescent="0.2"/>
  <cols>
    <col min="1" max="1" width="50" style="12" customWidth="1"/>
    <col min="2" max="2" width="9.28515625" style="12" customWidth="1"/>
    <col min="3" max="3" width="8.85546875" style="12" customWidth="1"/>
    <col min="4" max="4" width="9.5703125" style="12" customWidth="1"/>
    <col min="5" max="5" width="2.140625" style="12" customWidth="1"/>
    <col min="6" max="6" width="8.42578125" style="12" customWidth="1"/>
    <col min="7" max="7" width="8.5703125" style="58" customWidth="1"/>
    <col min="8" max="245" width="9.140625" style="12"/>
    <col min="246" max="246" width="34.28515625" style="12" customWidth="1"/>
    <col min="247" max="254" width="10" style="12" bestFit="1" customWidth="1"/>
    <col min="255" max="255" width="10" style="12" customWidth="1"/>
    <col min="256" max="258" width="0" style="12" hidden="1" customWidth="1"/>
    <col min="259" max="259" width="2.140625" style="12" customWidth="1"/>
    <col min="260" max="260" width="11" style="12" bestFit="1" customWidth="1"/>
    <col min="261" max="261" width="3.85546875" style="12" customWidth="1"/>
    <col min="262" max="262" width="11.85546875" style="12" bestFit="1" customWidth="1"/>
    <col min="263" max="263" width="6.28515625" style="12" bestFit="1" customWidth="1"/>
    <col min="264" max="501" width="9.140625" style="12"/>
    <col min="502" max="502" width="34.28515625" style="12" customWidth="1"/>
    <col min="503" max="510" width="10" style="12" bestFit="1" customWidth="1"/>
    <col min="511" max="511" width="10" style="12" customWidth="1"/>
    <col min="512" max="514" width="0" style="12" hidden="1" customWidth="1"/>
    <col min="515" max="515" width="2.140625" style="12" customWidth="1"/>
    <col min="516" max="516" width="11" style="12" bestFit="1" customWidth="1"/>
    <col min="517" max="517" width="3.85546875" style="12" customWidth="1"/>
    <col min="518" max="518" width="11.85546875" style="12" bestFit="1" customWidth="1"/>
    <col min="519" max="519" width="6.28515625" style="12" bestFit="1" customWidth="1"/>
    <col min="520" max="757" width="9.140625" style="12"/>
    <col min="758" max="758" width="34.28515625" style="12" customWidth="1"/>
    <col min="759" max="766" width="10" style="12" bestFit="1" customWidth="1"/>
    <col min="767" max="767" width="10" style="12" customWidth="1"/>
    <col min="768" max="770" width="0" style="12" hidden="1" customWidth="1"/>
    <col min="771" max="771" width="2.140625" style="12" customWidth="1"/>
    <col min="772" max="772" width="11" style="12" bestFit="1" customWidth="1"/>
    <col min="773" max="773" width="3.85546875" style="12" customWidth="1"/>
    <col min="774" max="774" width="11.85546875" style="12" bestFit="1" customWidth="1"/>
    <col min="775" max="775" width="6.28515625" style="12" bestFit="1" customWidth="1"/>
    <col min="776" max="1013" width="9.140625" style="12"/>
    <col min="1014" max="1014" width="34.28515625" style="12" customWidth="1"/>
    <col min="1015" max="1022" width="10" style="12" bestFit="1" customWidth="1"/>
    <col min="1023" max="1023" width="10" style="12" customWidth="1"/>
    <col min="1024" max="1026" width="0" style="12" hidden="1" customWidth="1"/>
    <col min="1027" max="1027" width="2.140625" style="12" customWidth="1"/>
    <col min="1028" max="1028" width="11" style="12" bestFit="1" customWidth="1"/>
    <col min="1029" max="1029" width="3.85546875" style="12" customWidth="1"/>
    <col min="1030" max="1030" width="11.85546875" style="12" bestFit="1" customWidth="1"/>
    <col min="1031" max="1031" width="6.28515625" style="12" bestFit="1" customWidth="1"/>
    <col min="1032" max="1269" width="9.140625" style="12"/>
    <col min="1270" max="1270" width="34.28515625" style="12" customWidth="1"/>
    <col min="1271" max="1278" width="10" style="12" bestFit="1" customWidth="1"/>
    <col min="1279" max="1279" width="10" style="12" customWidth="1"/>
    <col min="1280" max="1282" width="0" style="12" hidden="1" customWidth="1"/>
    <col min="1283" max="1283" width="2.140625" style="12" customWidth="1"/>
    <col min="1284" max="1284" width="11" style="12" bestFit="1" customWidth="1"/>
    <col min="1285" max="1285" width="3.85546875" style="12" customWidth="1"/>
    <col min="1286" max="1286" width="11.85546875" style="12" bestFit="1" customWidth="1"/>
    <col min="1287" max="1287" width="6.28515625" style="12" bestFit="1" customWidth="1"/>
    <col min="1288" max="1525" width="9.140625" style="12"/>
    <col min="1526" max="1526" width="34.28515625" style="12" customWidth="1"/>
    <col min="1527" max="1534" width="10" style="12" bestFit="1" customWidth="1"/>
    <col min="1535" max="1535" width="10" style="12" customWidth="1"/>
    <col min="1536" max="1538" width="0" style="12" hidden="1" customWidth="1"/>
    <col min="1539" max="1539" width="2.140625" style="12" customWidth="1"/>
    <col min="1540" max="1540" width="11" style="12" bestFit="1" customWidth="1"/>
    <col min="1541" max="1541" width="3.85546875" style="12" customWidth="1"/>
    <col min="1542" max="1542" width="11.85546875" style="12" bestFit="1" customWidth="1"/>
    <col min="1543" max="1543" width="6.28515625" style="12" bestFit="1" customWidth="1"/>
    <col min="1544" max="1781" width="9.140625" style="12"/>
    <col min="1782" max="1782" width="34.28515625" style="12" customWidth="1"/>
    <col min="1783" max="1790" width="10" style="12" bestFit="1" customWidth="1"/>
    <col min="1791" max="1791" width="10" style="12" customWidth="1"/>
    <col min="1792" max="1794" width="0" style="12" hidden="1" customWidth="1"/>
    <col min="1795" max="1795" width="2.140625" style="12" customWidth="1"/>
    <col min="1796" max="1796" width="11" style="12" bestFit="1" customWidth="1"/>
    <col min="1797" max="1797" width="3.85546875" style="12" customWidth="1"/>
    <col min="1798" max="1798" width="11.85546875" style="12" bestFit="1" customWidth="1"/>
    <col min="1799" max="1799" width="6.28515625" style="12" bestFit="1" customWidth="1"/>
    <col min="1800" max="2037" width="9.140625" style="12"/>
    <col min="2038" max="2038" width="34.28515625" style="12" customWidth="1"/>
    <col min="2039" max="2046" width="10" style="12" bestFit="1" customWidth="1"/>
    <col min="2047" max="2047" width="10" style="12" customWidth="1"/>
    <col min="2048" max="2050" width="0" style="12" hidden="1" customWidth="1"/>
    <col min="2051" max="2051" width="2.140625" style="12" customWidth="1"/>
    <col min="2052" max="2052" width="11" style="12" bestFit="1" customWidth="1"/>
    <col min="2053" max="2053" width="3.85546875" style="12" customWidth="1"/>
    <col min="2054" max="2054" width="11.85546875" style="12" bestFit="1" customWidth="1"/>
    <col min="2055" max="2055" width="6.28515625" style="12" bestFit="1" customWidth="1"/>
    <col min="2056" max="2293" width="9.140625" style="12"/>
    <col min="2294" max="2294" width="34.28515625" style="12" customWidth="1"/>
    <col min="2295" max="2302" width="10" style="12" bestFit="1" customWidth="1"/>
    <col min="2303" max="2303" width="10" style="12" customWidth="1"/>
    <col min="2304" max="2306" width="0" style="12" hidden="1" customWidth="1"/>
    <col min="2307" max="2307" width="2.140625" style="12" customWidth="1"/>
    <col min="2308" max="2308" width="11" style="12" bestFit="1" customWidth="1"/>
    <col min="2309" max="2309" width="3.85546875" style="12" customWidth="1"/>
    <col min="2310" max="2310" width="11.85546875" style="12" bestFit="1" customWidth="1"/>
    <col min="2311" max="2311" width="6.28515625" style="12" bestFit="1" customWidth="1"/>
    <col min="2312" max="2549" width="9.140625" style="12"/>
    <col min="2550" max="2550" width="34.28515625" style="12" customWidth="1"/>
    <col min="2551" max="2558" width="10" style="12" bestFit="1" customWidth="1"/>
    <col min="2559" max="2559" width="10" style="12" customWidth="1"/>
    <col min="2560" max="2562" width="0" style="12" hidden="1" customWidth="1"/>
    <col min="2563" max="2563" width="2.140625" style="12" customWidth="1"/>
    <col min="2564" max="2564" width="11" style="12" bestFit="1" customWidth="1"/>
    <col min="2565" max="2565" width="3.85546875" style="12" customWidth="1"/>
    <col min="2566" max="2566" width="11.85546875" style="12" bestFit="1" customWidth="1"/>
    <col min="2567" max="2567" width="6.28515625" style="12" bestFit="1" customWidth="1"/>
    <col min="2568" max="2805" width="9.140625" style="12"/>
    <col min="2806" max="2806" width="34.28515625" style="12" customWidth="1"/>
    <col min="2807" max="2814" width="10" style="12" bestFit="1" customWidth="1"/>
    <col min="2815" max="2815" width="10" style="12" customWidth="1"/>
    <col min="2816" max="2818" width="0" style="12" hidden="1" customWidth="1"/>
    <col min="2819" max="2819" width="2.140625" style="12" customWidth="1"/>
    <col min="2820" max="2820" width="11" style="12" bestFit="1" customWidth="1"/>
    <col min="2821" max="2821" width="3.85546875" style="12" customWidth="1"/>
    <col min="2822" max="2822" width="11.85546875" style="12" bestFit="1" customWidth="1"/>
    <col min="2823" max="2823" width="6.28515625" style="12" bestFit="1" customWidth="1"/>
    <col min="2824" max="3061" width="9.140625" style="12"/>
    <col min="3062" max="3062" width="34.28515625" style="12" customWidth="1"/>
    <col min="3063" max="3070" width="10" style="12" bestFit="1" customWidth="1"/>
    <col min="3071" max="3071" width="10" style="12" customWidth="1"/>
    <col min="3072" max="3074" width="0" style="12" hidden="1" customWidth="1"/>
    <col min="3075" max="3075" width="2.140625" style="12" customWidth="1"/>
    <col min="3076" max="3076" width="11" style="12" bestFit="1" customWidth="1"/>
    <col min="3077" max="3077" width="3.85546875" style="12" customWidth="1"/>
    <col min="3078" max="3078" width="11.85546875" style="12" bestFit="1" customWidth="1"/>
    <col min="3079" max="3079" width="6.28515625" style="12" bestFit="1" customWidth="1"/>
    <col min="3080" max="3317" width="9.140625" style="12"/>
    <col min="3318" max="3318" width="34.28515625" style="12" customWidth="1"/>
    <col min="3319" max="3326" width="10" style="12" bestFit="1" customWidth="1"/>
    <col min="3327" max="3327" width="10" style="12" customWidth="1"/>
    <col min="3328" max="3330" width="0" style="12" hidden="1" customWidth="1"/>
    <col min="3331" max="3331" width="2.140625" style="12" customWidth="1"/>
    <col min="3332" max="3332" width="11" style="12" bestFit="1" customWidth="1"/>
    <col min="3333" max="3333" width="3.85546875" style="12" customWidth="1"/>
    <col min="3334" max="3334" width="11.85546875" style="12" bestFit="1" customWidth="1"/>
    <col min="3335" max="3335" width="6.28515625" style="12" bestFit="1" customWidth="1"/>
    <col min="3336" max="3573" width="9.140625" style="12"/>
    <col min="3574" max="3574" width="34.28515625" style="12" customWidth="1"/>
    <col min="3575" max="3582" width="10" style="12" bestFit="1" customWidth="1"/>
    <col min="3583" max="3583" width="10" style="12" customWidth="1"/>
    <col min="3584" max="3586" width="0" style="12" hidden="1" customWidth="1"/>
    <col min="3587" max="3587" width="2.140625" style="12" customWidth="1"/>
    <col min="3588" max="3588" width="11" style="12" bestFit="1" customWidth="1"/>
    <col min="3589" max="3589" width="3.85546875" style="12" customWidth="1"/>
    <col min="3590" max="3590" width="11.85546875" style="12" bestFit="1" customWidth="1"/>
    <col min="3591" max="3591" width="6.28515625" style="12" bestFit="1" customWidth="1"/>
    <col min="3592" max="3829" width="9.140625" style="12"/>
    <col min="3830" max="3830" width="34.28515625" style="12" customWidth="1"/>
    <col min="3831" max="3838" width="10" style="12" bestFit="1" customWidth="1"/>
    <col min="3839" max="3839" width="10" style="12" customWidth="1"/>
    <col min="3840" max="3842" width="0" style="12" hidden="1" customWidth="1"/>
    <col min="3843" max="3843" width="2.140625" style="12" customWidth="1"/>
    <col min="3844" max="3844" width="11" style="12" bestFit="1" customWidth="1"/>
    <col min="3845" max="3845" width="3.85546875" style="12" customWidth="1"/>
    <col min="3846" max="3846" width="11.85546875" style="12" bestFit="1" customWidth="1"/>
    <col min="3847" max="3847" width="6.28515625" style="12" bestFit="1" customWidth="1"/>
    <col min="3848" max="4085" width="9.140625" style="12"/>
    <col min="4086" max="4086" width="34.28515625" style="12" customWidth="1"/>
    <col min="4087" max="4094" width="10" style="12" bestFit="1" customWidth="1"/>
    <col min="4095" max="4095" width="10" style="12" customWidth="1"/>
    <col min="4096" max="4098" width="0" style="12" hidden="1" customWidth="1"/>
    <col min="4099" max="4099" width="2.140625" style="12" customWidth="1"/>
    <col min="4100" max="4100" width="11" style="12" bestFit="1" customWidth="1"/>
    <col min="4101" max="4101" width="3.85546875" style="12" customWidth="1"/>
    <col min="4102" max="4102" width="11.85546875" style="12" bestFit="1" customWidth="1"/>
    <col min="4103" max="4103" width="6.28515625" style="12" bestFit="1" customWidth="1"/>
    <col min="4104" max="4341" width="9.140625" style="12"/>
    <col min="4342" max="4342" width="34.28515625" style="12" customWidth="1"/>
    <col min="4343" max="4350" width="10" style="12" bestFit="1" customWidth="1"/>
    <col min="4351" max="4351" width="10" style="12" customWidth="1"/>
    <col min="4352" max="4354" width="0" style="12" hidden="1" customWidth="1"/>
    <col min="4355" max="4355" width="2.140625" style="12" customWidth="1"/>
    <col min="4356" max="4356" width="11" style="12" bestFit="1" customWidth="1"/>
    <col min="4357" max="4357" width="3.85546875" style="12" customWidth="1"/>
    <col min="4358" max="4358" width="11.85546875" style="12" bestFit="1" customWidth="1"/>
    <col min="4359" max="4359" width="6.28515625" style="12" bestFit="1" customWidth="1"/>
    <col min="4360" max="4597" width="9.140625" style="12"/>
    <col min="4598" max="4598" width="34.28515625" style="12" customWidth="1"/>
    <col min="4599" max="4606" width="10" style="12" bestFit="1" customWidth="1"/>
    <col min="4607" max="4607" width="10" style="12" customWidth="1"/>
    <col min="4608" max="4610" width="0" style="12" hidden="1" customWidth="1"/>
    <col min="4611" max="4611" width="2.140625" style="12" customWidth="1"/>
    <col min="4612" max="4612" width="11" style="12" bestFit="1" customWidth="1"/>
    <col min="4613" max="4613" width="3.85546875" style="12" customWidth="1"/>
    <col min="4614" max="4614" width="11.85546875" style="12" bestFit="1" customWidth="1"/>
    <col min="4615" max="4615" width="6.28515625" style="12" bestFit="1" customWidth="1"/>
    <col min="4616" max="4853" width="9.140625" style="12"/>
    <col min="4854" max="4854" width="34.28515625" style="12" customWidth="1"/>
    <col min="4855" max="4862" width="10" style="12" bestFit="1" customWidth="1"/>
    <col min="4863" max="4863" width="10" style="12" customWidth="1"/>
    <col min="4864" max="4866" width="0" style="12" hidden="1" customWidth="1"/>
    <col min="4867" max="4867" width="2.140625" style="12" customWidth="1"/>
    <col min="4868" max="4868" width="11" style="12" bestFit="1" customWidth="1"/>
    <col min="4869" max="4869" width="3.85546875" style="12" customWidth="1"/>
    <col min="4870" max="4870" width="11.85546875" style="12" bestFit="1" customWidth="1"/>
    <col min="4871" max="4871" width="6.28515625" style="12" bestFit="1" customWidth="1"/>
    <col min="4872" max="5109" width="9.140625" style="12"/>
    <col min="5110" max="5110" width="34.28515625" style="12" customWidth="1"/>
    <col min="5111" max="5118" width="10" style="12" bestFit="1" customWidth="1"/>
    <col min="5119" max="5119" width="10" style="12" customWidth="1"/>
    <col min="5120" max="5122" width="0" style="12" hidden="1" customWidth="1"/>
    <col min="5123" max="5123" width="2.140625" style="12" customWidth="1"/>
    <col min="5124" max="5124" width="11" style="12" bestFit="1" customWidth="1"/>
    <col min="5125" max="5125" width="3.85546875" style="12" customWidth="1"/>
    <col min="5126" max="5126" width="11.85546875" style="12" bestFit="1" customWidth="1"/>
    <col min="5127" max="5127" width="6.28515625" style="12" bestFit="1" customWidth="1"/>
    <col min="5128" max="5365" width="9.140625" style="12"/>
    <col min="5366" max="5366" width="34.28515625" style="12" customWidth="1"/>
    <col min="5367" max="5374" width="10" style="12" bestFit="1" customWidth="1"/>
    <col min="5375" max="5375" width="10" style="12" customWidth="1"/>
    <col min="5376" max="5378" width="0" style="12" hidden="1" customWidth="1"/>
    <col min="5379" max="5379" width="2.140625" style="12" customWidth="1"/>
    <col min="5380" max="5380" width="11" style="12" bestFit="1" customWidth="1"/>
    <col min="5381" max="5381" width="3.85546875" style="12" customWidth="1"/>
    <col min="5382" max="5382" width="11.85546875" style="12" bestFit="1" customWidth="1"/>
    <col min="5383" max="5383" width="6.28515625" style="12" bestFit="1" customWidth="1"/>
    <col min="5384" max="5621" width="9.140625" style="12"/>
    <col min="5622" max="5622" width="34.28515625" style="12" customWidth="1"/>
    <col min="5623" max="5630" width="10" style="12" bestFit="1" customWidth="1"/>
    <col min="5631" max="5631" width="10" style="12" customWidth="1"/>
    <col min="5632" max="5634" width="0" style="12" hidden="1" customWidth="1"/>
    <col min="5635" max="5635" width="2.140625" style="12" customWidth="1"/>
    <col min="5636" max="5636" width="11" style="12" bestFit="1" customWidth="1"/>
    <col min="5637" max="5637" width="3.85546875" style="12" customWidth="1"/>
    <col min="5638" max="5638" width="11.85546875" style="12" bestFit="1" customWidth="1"/>
    <col min="5639" max="5639" width="6.28515625" style="12" bestFit="1" customWidth="1"/>
    <col min="5640" max="5877" width="9.140625" style="12"/>
    <col min="5878" max="5878" width="34.28515625" style="12" customWidth="1"/>
    <col min="5879" max="5886" width="10" style="12" bestFit="1" customWidth="1"/>
    <col min="5887" max="5887" width="10" style="12" customWidth="1"/>
    <col min="5888" max="5890" width="0" style="12" hidden="1" customWidth="1"/>
    <col min="5891" max="5891" width="2.140625" style="12" customWidth="1"/>
    <col min="5892" max="5892" width="11" style="12" bestFit="1" customWidth="1"/>
    <col min="5893" max="5893" width="3.85546875" style="12" customWidth="1"/>
    <col min="5894" max="5894" width="11.85546875" style="12" bestFit="1" customWidth="1"/>
    <col min="5895" max="5895" width="6.28515625" style="12" bestFit="1" customWidth="1"/>
    <col min="5896" max="6133" width="9.140625" style="12"/>
    <col min="6134" max="6134" width="34.28515625" style="12" customWidth="1"/>
    <col min="6135" max="6142" width="10" style="12" bestFit="1" customWidth="1"/>
    <col min="6143" max="6143" width="10" style="12" customWidth="1"/>
    <col min="6144" max="6146" width="0" style="12" hidden="1" customWidth="1"/>
    <col min="6147" max="6147" width="2.140625" style="12" customWidth="1"/>
    <col min="6148" max="6148" width="11" style="12" bestFit="1" customWidth="1"/>
    <col min="6149" max="6149" width="3.85546875" style="12" customWidth="1"/>
    <col min="6150" max="6150" width="11.85546875" style="12" bestFit="1" customWidth="1"/>
    <col min="6151" max="6151" width="6.28515625" style="12" bestFit="1" customWidth="1"/>
    <col min="6152" max="6389" width="9.140625" style="12"/>
    <col min="6390" max="6390" width="34.28515625" style="12" customWidth="1"/>
    <col min="6391" max="6398" width="10" style="12" bestFit="1" customWidth="1"/>
    <col min="6399" max="6399" width="10" style="12" customWidth="1"/>
    <col min="6400" max="6402" width="0" style="12" hidden="1" customWidth="1"/>
    <col min="6403" max="6403" width="2.140625" style="12" customWidth="1"/>
    <col min="6404" max="6404" width="11" style="12" bestFit="1" customWidth="1"/>
    <col min="6405" max="6405" width="3.85546875" style="12" customWidth="1"/>
    <col min="6406" max="6406" width="11.85546875" style="12" bestFit="1" customWidth="1"/>
    <col min="6407" max="6407" width="6.28515625" style="12" bestFit="1" customWidth="1"/>
    <col min="6408" max="6645" width="9.140625" style="12"/>
    <col min="6646" max="6646" width="34.28515625" style="12" customWidth="1"/>
    <col min="6647" max="6654" width="10" style="12" bestFit="1" customWidth="1"/>
    <col min="6655" max="6655" width="10" style="12" customWidth="1"/>
    <col min="6656" max="6658" width="0" style="12" hidden="1" customWidth="1"/>
    <col min="6659" max="6659" width="2.140625" style="12" customWidth="1"/>
    <col min="6660" max="6660" width="11" style="12" bestFit="1" customWidth="1"/>
    <col min="6661" max="6661" width="3.85546875" style="12" customWidth="1"/>
    <col min="6662" max="6662" width="11.85546875" style="12" bestFit="1" customWidth="1"/>
    <col min="6663" max="6663" width="6.28515625" style="12" bestFit="1" customWidth="1"/>
    <col min="6664" max="6901" width="9.140625" style="12"/>
    <col min="6902" max="6902" width="34.28515625" style="12" customWidth="1"/>
    <col min="6903" max="6910" width="10" style="12" bestFit="1" customWidth="1"/>
    <col min="6911" max="6911" width="10" style="12" customWidth="1"/>
    <col min="6912" max="6914" width="0" style="12" hidden="1" customWidth="1"/>
    <col min="6915" max="6915" width="2.140625" style="12" customWidth="1"/>
    <col min="6916" max="6916" width="11" style="12" bestFit="1" customWidth="1"/>
    <col min="6917" max="6917" width="3.85546875" style="12" customWidth="1"/>
    <col min="6918" max="6918" width="11.85546875" style="12" bestFit="1" customWidth="1"/>
    <col min="6919" max="6919" width="6.28515625" style="12" bestFit="1" customWidth="1"/>
    <col min="6920" max="7157" width="9.140625" style="12"/>
    <col min="7158" max="7158" width="34.28515625" style="12" customWidth="1"/>
    <col min="7159" max="7166" width="10" style="12" bestFit="1" customWidth="1"/>
    <col min="7167" max="7167" width="10" style="12" customWidth="1"/>
    <col min="7168" max="7170" width="0" style="12" hidden="1" customWidth="1"/>
    <col min="7171" max="7171" width="2.140625" style="12" customWidth="1"/>
    <col min="7172" max="7172" width="11" style="12" bestFit="1" customWidth="1"/>
    <col min="7173" max="7173" width="3.85546875" style="12" customWidth="1"/>
    <col min="7174" max="7174" width="11.85546875" style="12" bestFit="1" customWidth="1"/>
    <col min="7175" max="7175" width="6.28515625" style="12" bestFit="1" customWidth="1"/>
    <col min="7176" max="7413" width="9.140625" style="12"/>
    <col min="7414" max="7414" width="34.28515625" style="12" customWidth="1"/>
    <col min="7415" max="7422" width="10" style="12" bestFit="1" customWidth="1"/>
    <col min="7423" max="7423" width="10" style="12" customWidth="1"/>
    <col min="7424" max="7426" width="0" style="12" hidden="1" customWidth="1"/>
    <col min="7427" max="7427" width="2.140625" style="12" customWidth="1"/>
    <col min="7428" max="7428" width="11" style="12" bestFit="1" customWidth="1"/>
    <col min="7429" max="7429" width="3.85546875" style="12" customWidth="1"/>
    <col min="7430" max="7430" width="11.85546875" style="12" bestFit="1" customWidth="1"/>
    <col min="7431" max="7431" width="6.28515625" style="12" bestFit="1" customWidth="1"/>
    <col min="7432" max="7669" width="9.140625" style="12"/>
    <col min="7670" max="7670" width="34.28515625" style="12" customWidth="1"/>
    <col min="7671" max="7678" width="10" style="12" bestFit="1" customWidth="1"/>
    <col min="7679" max="7679" width="10" style="12" customWidth="1"/>
    <col min="7680" max="7682" width="0" style="12" hidden="1" customWidth="1"/>
    <col min="7683" max="7683" width="2.140625" style="12" customWidth="1"/>
    <col min="7684" max="7684" width="11" style="12" bestFit="1" customWidth="1"/>
    <col min="7685" max="7685" width="3.85546875" style="12" customWidth="1"/>
    <col min="7686" max="7686" width="11.85546875" style="12" bestFit="1" customWidth="1"/>
    <col min="7687" max="7687" width="6.28515625" style="12" bestFit="1" customWidth="1"/>
    <col min="7688" max="7925" width="9.140625" style="12"/>
    <col min="7926" max="7926" width="34.28515625" style="12" customWidth="1"/>
    <col min="7927" max="7934" width="10" style="12" bestFit="1" customWidth="1"/>
    <col min="7935" max="7935" width="10" style="12" customWidth="1"/>
    <col min="7936" max="7938" width="0" style="12" hidden="1" customWidth="1"/>
    <col min="7939" max="7939" width="2.140625" style="12" customWidth="1"/>
    <col min="7940" max="7940" width="11" style="12" bestFit="1" customWidth="1"/>
    <col min="7941" max="7941" width="3.85546875" style="12" customWidth="1"/>
    <col min="7942" max="7942" width="11.85546875" style="12" bestFit="1" customWidth="1"/>
    <col min="7943" max="7943" width="6.28515625" style="12" bestFit="1" customWidth="1"/>
    <col min="7944" max="8181" width="9.140625" style="12"/>
    <col min="8182" max="8182" width="34.28515625" style="12" customWidth="1"/>
    <col min="8183" max="8190" width="10" style="12" bestFit="1" customWidth="1"/>
    <col min="8191" max="8191" width="10" style="12" customWidth="1"/>
    <col min="8192" max="8194" width="0" style="12" hidden="1" customWidth="1"/>
    <col min="8195" max="8195" width="2.140625" style="12" customWidth="1"/>
    <col min="8196" max="8196" width="11" style="12" bestFit="1" customWidth="1"/>
    <col min="8197" max="8197" width="3.85546875" style="12" customWidth="1"/>
    <col min="8198" max="8198" width="11.85546875" style="12" bestFit="1" customWidth="1"/>
    <col min="8199" max="8199" width="6.28515625" style="12" bestFit="1" customWidth="1"/>
    <col min="8200" max="8437" width="9.140625" style="12"/>
    <col min="8438" max="8438" width="34.28515625" style="12" customWidth="1"/>
    <col min="8439" max="8446" width="10" style="12" bestFit="1" customWidth="1"/>
    <col min="8447" max="8447" width="10" style="12" customWidth="1"/>
    <col min="8448" max="8450" width="0" style="12" hidden="1" customWidth="1"/>
    <col min="8451" max="8451" width="2.140625" style="12" customWidth="1"/>
    <col min="8452" max="8452" width="11" style="12" bestFit="1" customWidth="1"/>
    <col min="8453" max="8453" width="3.85546875" style="12" customWidth="1"/>
    <col min="8454" max="8454" width="11.85546875" style="12" bestFit="1" customWidth="1"/>
    <col min="8455" max="8455" width="6.28515625" style="12" bestFit="1" customWidth="1"/>
    <col min="8456" max="8693" width="9.140625" style="12"/>
    <col min="8694" max="8694" width="34.28515625" style="12" customWidth="1"/>
    <col min="8695" max="8702" width="10" style="12" bestFit="1" customWidth="1"/>
    <col min="8703" max="8703" width="10" style="12" customWidth="1"/>
    <col min="8704" max="8706" width="0" style="12" hidden="1" customWidth="1"/>
    <col min="8707" max="8707" width="2.140625" style="12" customWidth="1"/>
    <col min="8708" max="8708" width="11" style="12" bestFit="1" customWidth="1"/>
    <col min="8709" max="8709" width="3.85546875" style="12" customWidth="1"/>
    <col min="8710" max="8710" width="11.85546875" style="12" bestFit="1" customWidth="1"/>
    <col min="8711" max="8711" width="6.28515625" style="12" bestFit="1" customWidth="1"/>
    <col min="8712" max="8949" width="9.140625" style="12"/>
    <col min="8950" max="8950" width="34.28515625" style="12" customWidth="1"/>
    <col min="8951" max="8958" width="10" style="12" bestFit="1" customWidth="1"/>
    <col min="8959" max="8959" width="10" style="12" customWidth="1"/>
    <col min="8960" max="8962" width="0" style="12" hidden="1" customWidth="1"/>
    <col min="8963" max="8963" width="2.140625" style="12" customWidth="1"/>
    <col min="8964" max="8964" width="11" style="12" bestFit="1" customWidth="1"/>
    <col min="8965" max="8965" width="3.85546875" style="12" customWidth="1"/>
    <col min="8966" max="8966" width="11.85546875" style="12" bestFit="1" customWidth="1"/>
    <col min="8967" max="8967" width="6.28515625" style="12" bestFit="1" customWidth="1"/>
    <col min="8968" max="9205" width="9.140625" style="12"/>
    <col min="9206" max="9206" width="34.28515625" style="12" customWidth="1"/>
    <col min="9207" max="9214" width="10" style="12" bestFit="1" customWidth="1"/>
    <col min="9215" max="9215" width="10" style="12" customWidth="1"/>
    <col min="9216" max="9218" width="0" style="12" hidden="1" customWidth="1"/>
    <col min="9219" max="9219" width="2.140625" style="12" customWidth="1"/>
    <col min="9220" max="9220" width="11" style="12" bestFit="1" customWidth="1"/>
    <col min="9221" max="9221" width="3.85546875" style="12" customWidth="1"/>
    <col min="9222" max="9222" width="11.85546875" style="12" bestFit="1" customWidth="1"/>
    <col min="9223" max="9223" width="6.28515625" style="12" bestFit="1" customWidth="1"/>
    <col min="9224" max="9461" width="9.140625" style="12"/>
    <col min="9462" max="9462" width="34.28515625" style="12" customWidth="1"/>
    <col min="9463" max="9470" width="10" style="12" bestFit="1" customWidth="1"/>
    <col min="9471" max="9471" width="10" style="12" customWidth="1"/>
    <col min="9472" max="9474" width="0" style="12" hidden="1" customWidth="1"/>
    <col min="9475" max="9475" width="2.140625" style="12" customWidth="1"/>
    <col min="9476" max="9476" width="11" style="12" bestFit="1" customWidth="1"/>
    <col min="9477" max="9477" width="3.85546875" style="12" customWidth="1"/>
    <col min="9478" max="9478" width="11.85546875" style="12" bestFit="1" customWidth="1"/>
    <col min="9479" max="9479" width="6.28515625" style="12" bestFit="1" customWidth="1"/>
    <col min="9480" max="9717" width="9.140625" style="12"/>
    <col min="9718" max="9718" width="34.28515625" style="12" customWidth="1"/>
    <col min="9719" max="9726" width="10" style="12" bestFit="1" customWidth="1"/>
    <col min="9727" max="9727" width="10" style="12" customWidth="1"/>
    <col min="9728" max="9730" width="0" style="12" hidden="1" customWidth="1"/>
    <col min="9731" max="9731" width="2.140625" style="12" customWidth="1"/>
    <col min="9732" max="9732" width="11" style="12" bestFit="1" customWidth="1"/>
    <col min="9733" max="9733" width="3.85546875" style="12" customWidth="1"/>
    <col min="9734" max="9734" width="11.85546875" style="12" bestFit="1" customWidth="1"/>
    <col min="9735" max="9735" width="6.28515625" style="12" bestFit="1" customWidth="1"/>
    <col min="9736" max="9973" width="9.140625" style="12"/>
    <col min="9974" max="9974" width="34.28515625" style="12" customWidth="1"/>
    <col min="9975" max="9982" width="10" style="12" bestFit="1" customWidth="1"/>
    <col min="9983" max="9983" width="10" style="12" customWidth="1"/>
    <col min="9984" max="9986" width="0" style="12" hidden="1" customWidth="1"/>
    <col min="9987" max="9987" width="2.140625" style="12" customWidth="1"/>
    <col min="9988" max="9988" width="11" style="12" bestFit="1" customWidth="1"/>
    <col min="9989" max="9989" width="3.85546875" style="12" customWidth="1"/>
    <col min="9990" max="9990" width="11.85546875" style="12" bestFit="1" customWidth="1"/>
    <col min="9991" max="9991" width="6.28515625" style="12" bestFit="1" customWidth="1"/>
    <col min="9992" max="10229" width="9.140625" style="12"/>
    <col min="10230" max="10230" width="34.28515625" style="12" customWidth="1"/>
    <col min="10231" max="10238" width="10" style="12" bestFit="1" customWidth="1"/>
    <col min="10239" max="10239" width="10" style="12" customWidth="1"/>
    <col min="10240" max="10242" width="0" style="12" hidden="1" customWidth="1"/>
    <col min="10243" max="10243" width="2.140625" style="12" customWidth="1"/>
    <col min="10244" max="10244" width="11" style="12" bestFit="1" customWidth="1"/>
    <col min="10245" max="10245" width="3.85546875" style="12" customWidth="1"/>
    <col min="10246" max="10246" width="11.85546875" style="12" bestFit="1" customWidth="1"/>
    <col min="10247" max="10247" width="6.28515625" style="12" bestFit="1" customWidth="1"/>
    <col min="10248" max="10485" width="9.140625" style="12"/>
    <col min="10486" max="10486" width="34.28515625" style="12" customWidth="1"/>
    <col min="10487" max="10494" width="10" style="12" bestFit="1" customWidth="1"/>
    <col min="10495" max="10495" width="10" style="12" customWidth="1"/>
    <col min="10496" max="10498" width="0" style="12" hidden="1" customWidth="1"/>
    <col min="10499" max="10499" width="2.140625" style="12" customWidth="1"/>
    <col min="10500" max="10500" width="11" style="12" bestFit="1" customWidth="1"/>
    <col min="10501" max="10501" width="3.85546875" style="12" customWidth="1"/>
    <col min="10502" max="10502" width="11.85546875" style="12" bestFit="1" customWidth="1"/>
    <col min="10503" max="10503" width="6.28515625" style="12" bestFit="1" customWidth="1"/>
    <col min="10504" max="10741" width="9.140625" style="12"/>
    <col min="10742" max="10742" width="34.28515625" style="12" customWidth="1"/>
    <col min="10743" max="10750" width="10" style="12" bestFit="1" customWidth="1"/>
    <col min="10751" max="10751" width="10" style="12" customWidth="1"/>
    <col min="10752" max="10754" width="0" style="12" hidden="1" customWidth="1"/>
    <col min="10755" max="10755" width="2.140625" style="12" customWidth="1"/>
    <col min="10756" max="10756" width="11" style="12" bestFit="1" customWidth="1"/>
    <col min="10757" max="10757" width="3.85546875" style="12" customWidth="1"/>
    <col min="10758" max="10758" width="11.85546875" style="12" bestFit="1" customWidth="1"/>
    <col min="10759" max="10759" width="6.28515625" style="12" bestFit="1" customWidth="1"/>
    <col min="10760" max="10997" width="9.140625" style="12"/>
    <col min="10998" max="10998" width="34.28515625" style="12" customWidth="1"/>
    <col min="10999" max="11006" width="10" style="12" bestFit="1" customWidth="1"/>
    <col min="11007" max="11007" width="10" style="12" customWidth="1"/>
    <col min="11008" max="11010" width="0" style="12" hidden="1" customWidth="1"/>
    <col min="11011" max="11011" width="2.140625" style="12" customWidth="1"/>
    <col min="11012" max="11012" width="11" style="12" bestFit="1" customWidth="1"/>
    <col min="11013" max="11013" width="3.85546875" style="12" customWidth="1"/>
    <col min="11014" max="11014" width="11.85546875" style="12" bestFit="1" customWidth="1"/>
    <col min="11015" max="11015" width="6.28515625" style="12" bestFit="1" customWidth="1"/>
    <col min="11016" max="11253" width="9.140625" style="12"/>
    <col min="11254" max="11254" width="34.28515625" style="12" customWidth="1"/>
    <col min="11255" max="11262" width="10" style="12" bestFit="1" customWidth="1"/>
    <col min="11263" max="11263" width="10" style="12" customWidth="1"/>
    <col min="11264" max="11266" width="0" style="12" hidden="1" customWidth="1"/>
    <col min="11267" max="11267" width="2.140625" style="12" customWidth="1"/>
    <col min="11268" max="11268" width="11" style="12" bestFit="1" customWidth="1"/>
    <col min="11269" max="11269" width="3.85546875" style="12" customWidth="1"/>
    <col min="11270" max="11270" width="11.85546875" style="12" bestFit="1" customWidth="1"/>
    <col min="11271" max="11271" width="6.28515625" style="12" bestFit="1" customWidth="1"/>
    <col min="11272" max="11509" width="9.140625" style="12"/>
    <col min="11510" max="11510" width="34.28515625" style="12" customWidth="1"/>
    <col min="11511" max="11518" width="10" style="12" bestFit="1" customWidth="1"/>
    <col min="11519" max="11519" width="10" style="12" customWidth="1"/>
    <col min="11520" max="11522" width="0" style="12" hidden="1" customWidth="1"/>
    <col min="11523" max="11523" width="2.140625" style="12" customWidth="1"/>
    <col min="11524" max="11524" width="11" style="12" bestFit="1" customWidth="1"/>
    <col min="11525" max="11525" width="3.85546875" style="12" customWidth="1"/>
    <col min="11526" max="11526" width="11.85546875" style="12" bestFit="1" customWidth="1"/>
    <col min="11527" max="11527" width="6.28515625" style="12" bestFit="1" customWidth="1"/>
    <col min="11528" max="11765" width="9.140625" style="12"/>
    <col min="11766" max="11766" width="34.28515625" style="12" customWidth="1"/>
    <col min="11767" max="11774" width="10" style="12" bestFit="1" customWidth="1"/>
    <col min="11775" max="11775" width="10" style="12" customWidth="1"/>
    <col min="11776" max="11778" width="0" style="12" hidden="1" customWidth="1"/>
    <col min="11779" max="11779" width="2.140625" style="12" customWidth="1"/>
    <col min="11780" max="11780" width="11" style="12" bestFit="1" customWidth="1"/>
    <col min="11781" max="11781" width="3.85546875" style="12" customWidth="1"/>
    <col min="11782" max="11782" width="11.85546875" style="12" bestFit="1" customWidth="1"/>
    <col min="11783" max="11783" width="6.28515625" style="12" bestFit="1" customWidth="1"/>
    <col min="11784" max="12021" width="9.140625" style="12"/>
    <col min="12022" max="12022" width="34.28515625" style="12" customWidth="1"/>
    <col min="12023" max="12030" width="10" style="12" bestFit="1" customWidth="1"/>
    <col min="12031" max="12031" width="10" style="12" customWidth="1"/>
    <col min="12032" max="12034" width="0" style="12" hidden="1" customWidth="1"/>
    <col min="12035" max="12035" width="2.140625" style="12" customWidth="1"/>
    <col min="12036" max="12036" width="11" style="12" bestFit="1" customWidth="1"/>
    <col min="12037" max="12037" width="3.85546875" style="12" customWidth="1"/>
    <col min="12038" max="12038" width="11.85546875" style="12" bestFit="1" customWidth="1"/>
    <col min="12039" max="12039" width="6.28515625" style="12" bestFit="1" customWidth="1"/>
    <col min="12040" max="12277" width="9.140625" style="12"/>
    <col min="12278" max="12278" width="34.28515625" style="12" customWidth="1"/>
    <col min="12279" max="12286" width="10" style="12" bestFit="1" customWidth="1"/>
    <col min="12287" max="12287" width="10" style="12" customWidth="1"/>
    <col min="12288" max="12290" width="0" style="12" hidden="1" customWidth="1"/>
    <col min="12291" max="12291" width="2.140625" style="12" customWidth="1"/>
    <col min="12292" max="12292" width="11" style="12" bestFit="1" customWidth="1"/>
    <col min="12293" max="12293" width="3.85546875" style="12" customWidth="1"/>
    <col min="12294" max="12294" width="11.85546875" style="12" bestFit="1" customWidth="1"/>
    <col min="12295" max="12295" width="6.28515625" style="12" bestFit="1" customWidth="1"/>
    <col min="12296" max="12533" width="9.140625" style="12"/>
    <col min="12534" max="12534" width="34.28515625" style="12" customWidth="1"/>
    <col min="12535" max="12542" width="10" style="12" bestFit="1" customWidth="1"/>
    <col min="12543" max="12543" width="10" style="12" customWidth="1"/>
    <col min="12544" max="12546" width="0" style="12" hidden="1" customWidth="1"/>
    <col min="12547" max="12547" width="2.140625" style="12" customWidth="1"/>
    <col min="12548" max="12548" width="11" style="12" bestFit="1" customWidth="1"/>
    <col min="12549" max="12549" width="3.85546875" style="12" customWidth="1"/>
    <col min="12550" max="12550" width="11.85546875" style="12" bestFit="1" customWidth="1"/>
    <col min="12551" max="12551" width="6.28515625" style="12" bestFit="1" customWidth="1"/>
    <col min="12552" max="12789" width="9.140625" style="12"/>
    <col min="12790" max="12790" width="34.28515625" style="12" customWidth="1"/>
    <col min="12791" max="12798" width="10" style="12" bestFit="1" customWidth="1"/>
    <col min="12799" max="12799" width="10" style="12" customWidth="1"/>
    <col min="12800" max="12802" width="0" style="12" hidden="1" customWidth="1"/>
    <col min="12803" max="12803" width="2.140625" style="12" customWidth="1"/>
    <col min="12804" max="12804" width="11" style="12" bestFit="1" customWidth="1"/>
    <col min="12805" max="12805" width="3.85546875" style="12" customWidth="1"/>
    <col min="12806" max="12806" width="11.85546875" style="12" bestFit="1" customWidth="1"/>
    <col min="12807" max="12807" width="6.28515625" style="12" bestFit="1" customWidth="1"/>
    <col min="12808" max="13045" width="9.140625" style="12"/>
    <col min="13046" max="13046" width="34.28515625" style="12" customWidth="1"/>
    <col min="13047" max="13054" width="10" style="12" bestFit="1" customWidth="1"/>
    <col min="13055" max="13055" width="10" style="12" customWidth="1"/>
    <col min="13056" max="13058" width="0" style="12" hidden="1" customWidth="1"/>
    <col min="13059" max="13059" width="2.140625" style="12" customWidth="1"/>
    <col min="13060" max="13060" width="11" style="12" bestFit="1" customWidth="1"/>
    <col min="13061" max="13061" width="3.85546875" style="12" customWidth="1"/>
    <col min="13062" max="13062" width="11.85546875" style="12" bestFit="1" customWidth="1"/>
    <col min="13063" max="13063" width="6.28515625" style="12" bestFit="1" customWidth="1"/>
    <col min="13064" max="13301" width="9.140625" style="12"/>
    <col min="13302" max="13302" width="34.28515625" style="12" customWidth="1"/>
    <col min="13303" max="13310" width="10" style="12" bestFit="1" customWidth="1"/>
    <col min="13311" max="13311" width="10" style="12" customWidth="1"/>
    <col min="13312" max="13314" width="0" style="12" hidden="1" customWidth="1"/>
    <col min="13315" max="13315" width="2.140625" style="12" customWidth="1"/>
    <col min="13316" max="13316" width="11" style="12" bestFit="1" customWidth="1"/>
    <col min="13317" max="13317" width="3.85546875" style="12" customWidth="1"/>
    <col min="13318" max="13318" width="11.85546875" style="12" bestFit="1" customWidth="1"/>
    <col min="13319" max="13319" width="6.28515625" style="12" bestFit="1" customWidth="1"/>
    <col min="13320" max="13557" width="9.140625" style="12"/>
    <col min="13558" max="13558" width="34.28515625" style="12" customWidth="1"/>
    <col min="13559" max="13566" width="10" style="12" bestFit="1" customWidth="1"/>
    <col min="13567" max="13567" width="10" style="12" customWidth="1"/>
    <col min="13568" max="13570" width="0" style="12" hidden="1" customWidth="1"/>
    <col min="13571" max="13571" width="2.140625" style="12" customWidth="1"/>
    <col min="13572" max="13572" width="11" style="12" bestFit="1" customWidth="1"/>
    <col min="13573" max="13573" width="3.85546875" style="12" customWidth="1"/>
    <col min="13574" max="13574" width="11.85546875" style="12" bestFit="1" customWidth="1"/>
    <col min="13575" max="13575" width="6.28515625" style="12" bestFit="1" customWidth="1"/>
    <col min="13576" max="13813" width="9.140625" style="12"/>
    <col min="13814" max="13814" width="34.28515625" style="12" customWidth="1"/>
    <col min="13815" max="13822" width="10" style="12" bestFit="1" customWidth="1"/>
    <col min="13823" max="13823" width="10" style="12" customWidth="1"/>
    <col min="13824" max="13826" width="0" style="12" hidden="1" customWidth="1"/>
    <col min="13827" max="13827" width="2.140625" style="12" customWidth="1"/>
    <col min="13828" max="13828" width="11" style="12" bestFit="1" customWidth="1"/>
    <col min="13829" max="13829" width="3.85546875" style="12" customWidth="1"/>
    <col min="13830" max="13830" width="11.85546875" style="12" bestFit="1" customWidth="1"/>
    <col min="13831" max="13831" width="6.28515625" style="12" bestFit="1" customWidth="1"/>
    <col min="13832" max="14069" width="9.140625" style="12"/>
    <col min="14070" max="14070" width="34.28515625" style="12" customWidth="1"/>
    <col min="14071" max="14078" width="10" style="12" bestFit="1" customWidth="1"/>
    <col min="14079" max="14079" width="10" style="12" customWidth="1"/>
    <col min="14080" max="14082" width="0" style="12" hidden="1" customWidth="1"/>
    <col min="14083" max="14083" width="2.140625" style="12" customWidth="1"/>
    <col min="14084" max="14084" width="11" style="12" bestFit="1" customWidth="1"/>
    <col min="14085" max="14085" width="3.85546875" style="12" customWidth="1"/>
    <col min="14086" max="14086" width="11.85546875" style="12" bestFit="1" customWidth="1"/>
    <col min="14087" max="14087" width="6.28515625" style="12" bestFit="1" customWidth="1"/>
    <col min="14088" max="14325" width="9.140625" style="12"/>
    <col min="14326" max="14326" width="34.28515625" style="12" customWidth="1"/>
    <col min="14327" max="14334" width="10" style="12" bestFit="1" customWidth="1"/>
    <col min="14335" max="14335" width="10" style="12" customWidth="1"/>
    <col min="14336" max="14338" width="0" style="12" hidden="1" customWidth="1"/>
    <col min="14339" max="14339" width="2.140625" style="12" customWidth="1"/>
    <col min="14340" max="14340" width="11" style="12" bestFit="1" customWidth="1"/>
    <col min="14341" max="14341" width="3.85546875" style="12" customWidth="1"/>
    <col min="14342" max="14342" width="11.85546875" style="12" bestFit="1" customWidth="1"/>
    <col min="14343" max="14343" width="6.28515625" style="12" bestFit="1" customWidth="1"/>
    <col min="14344" max="14581" width="9.140625" style="12"/>
    <col min="14582" max="14582" width="34.28515625" style="12" customWidth="1"/>
    <col min="14583" max="14590" width="10" style="12" bestFit="1" customWidth="1"/>
    <col min="14591" max="14591" width="10" style="12" customWidth="1"/>
    <col min="14592" max="14594" width="0" style="12" hidden="1" customWidth="1"/>
    <col min="14595" max="14595" width="2.140625" style="12" customWidth="1"/>
    <col min="14596" max="14596" width="11" style="12" bestFit="1" customWidth="1"/>
    <col min="14597" max="14597" width="3.85546875" style="12" customWidth="1"/>
    <col min="14598" max="14598" width="11.85546875" style="12" bestFit="1" customWidth="1"/>
    <col min="14599" max="14599" width="6.28515625" style="12" bestFit="1" customWidth="1"/>
    <col min="14600" max="14837" width="9.140625" style="12"/>
    <col min="14838" max="14838" width="34.28515625" style="12" customWidth="1"/>
    <col min="14839" max="14846" width="10" style="12" bestFit="1" customWidth="1"/>
    <col min="14847" max="14847" width="10" style="12" customWidth="1"/>
    <col min="14848" max="14850" width="0" style="12" hidden="1" customWidth="1"/>
    <col min="14851" max="14851" width="2.140625" style="12" customWidth="1"/>
    <col min="14852" max="14852" width="11" style="12" bestFit="1" customWidth="1"/>
    <col min="14853" max="14853" width="3.85546875" style="12" customWidth="1"/>
    <col min="14854" max="14854" width="11.85546875" style="12" bestFit="1" customWidth="1"/>
    <col min="14855" max="14855" width="6.28515625" style="12" bestFit="1" customWidth="1"/>
    <col min="14856" max="15093" width="9.140625" style="12"/>
    <col min="15094" max="15094" width="34.28515625" style="12" customWidth="1"/>
    <col min="15095" max="15102" width="10" style="12" bestFit="1" customWidth="1"/>
    <col min="15103" max="15103" width="10" style="12" customWidth="1"/>
    <col min="15104" max="15106" width="0" style="12" hidden="1" customWidth="1"/>
    <col min="15107" max="15107" width="2.140625" style="12" customWidth="1"/>
    <col min="15108" max="15108" width="11" style="12" bestFit="1" customWidth="1"/>
    <col min="15109" max="15109" width="3.85546875" style="12" customWidth="1"/>
    <col min="15110" max="15110" width="11.85546875" style="12" bestFit="1" customWidth="1"/>
    <col min="15111" max="15111" width="6.28515625" style="12" bestFit="1" customWidth="1"/>
    <col min="15112" max="15349" width="9.140625" style="12"/>
    <col min="15350" max="15350" width="34.28515625" style="12" customWidth="1"/>
    <col min="15351" max="15358" width="10" style="12" bestFit="1" customWidth="1"/>
    <col min="15359" max="15359" width="10" style="12" customWidth="1"/>
    <col min="15360" max="15362" width="0" style="12" hidden="1" customWidth="1"/>
    <col min="15363" max="15363" width="2.140625" style="12" customWidth="1"/>
    <col min="15364" max="15364" width="11" style="12" bestFit="1" customWidth="1"/>
    <col min="15365" max="15365" width="3.85546875" style="12" customWidth="1"/>
    <col min="15366" max="15366" width="11.85546875" style="12" bestFit="1" customWidth="1"/>
    <col min="15367" max="15367" width="6.28515625" style="12" bestFit="1" customWidth="1"/>
    <col min="15368" max="15605" width="9.140625" style="12"/>
    <col min="15606" max="15606" width="34.28515625" style="12" customWidth="1"/>
    <col min="15607" max="15614" width="10" style="12" bestFit="1" customWidth="1"/>
    <col min="15615" max="15615" width="10" style="12" customWidth="1"/>
    <col min="15616" max="15618" width="0" style="12" hidden="1" customWidth="1"/>
    <col min="15619" max="15619" width="2.140625" style="12" customWidth="1"/>
    <col min="15620" max="15620" width="11" style="12" bestFit="1" customWidth="1"/>
    <col min="15621" max="15621" width="3.85546875" style="12" customWidth="1"/>
    <col min="15622" max="15622" width="11.85546875" style="12" bestFit="1" customWidth="1"/>
    <col min="15623" max="15623" width="6.28515625" style="12" bestFit="1" customWidth="1"/>
    <col min="15624" max="15861" width="9.140625" style="12"/>
    <col min="15862" max="15862" width="34.28515625" style="12" customWidth="1"/>
    <col min="15863" max="15870" width="10" style="12" bestFit="1" customWidth="1"/>
    <col min="15871" max="15871" width="10" style="12" customWidth="1"/>
    <col min="15872" max="15874" width="0" style="12" hidden="1" customWidth="1"/>
    <col min="15875" max="15875" width="2.140625" style="12" customWidth="1"/>
    <col min="15876" max="15876" width="11" style="12" bestFit="1" customWidth="1"/>
    <col min="15877" max="15877" width="3.85546875" style="12" customWidth="1"/>
    <col min="15878" max="15878" width="11.85546875" style="12" bestFit="1" customWidth="1"/>
    <col min="15879" max="15879" width="6.28515625" style="12" bestFit="1" customWidth="1"/>
    <col min="15880" max="16117" width="9.140625" style="12"/>
    <col min="16118" max="16118" width="34.28515625" style="12" customWidth="1"/>
    <col min="16119" max="16126" width="10" style="12" bestFit="1" customWidth="1"/>
    <col min="16127" max="16127" width="10" style="12" customWidth="1"/>
    <col min="16128" max="16130" width="0" style="12" hidden="1" customWidth="1"/>
    <col min="16131" max="16131" width="2.140625" style="12" customWidth="1"/>
    <col min="16132" max="16132" width="11" style="12" bestFit="1" customWidth="1"/>
    <col min="16133" max="16133" width="3.85546875" style="12" customWidth="1"/>
    <col min="16134" max="16134" width="11.85546875" style="12" bestFit="1" customWidth="1"/>
    <col min="16135" max="16135" width="6.28515625" style="12" bestFit="1" customWidth="1"/>
    <col min="16136" max="16384" width="9.140625" style="12"/>
  </cols>
  <sheetData>
    <row r="1" spans="1:9" ht="27" customHeight="1" x14ac:dyDescent="0.2">
      <c r="A1" s="138" t="s">
        <v>350</v>
      </c>
      <c r="B1" s="138"/>
      <c r="C1" s="138"/>
      <c r="D1" s="138"/>
      <c r="E1" s="138"/>
      <c r="F1" s="138"/>
      <c r="G1" s="138"/>
      <c r="H1" s="138"/>
      <c r="I1" s="138"/>
    </row>
    <row r="2" spans="1:9" ht="23.25" x14ac:dyDescent="0.35">
      <c r="B2" s="46"/>
      <c r="C2" s="46"/>
      <c r="D2" s="46"/>
    </row>
    <row r="3" spans="1:9" x14ac:dyDescent="0.2">
      <c r="B3" s="51"/>
      <c r="C3" s="51"/>
      <c r="D3" s="51"/>
      <c r="E3" s="51"/>
      <c r="F3" s="136" t="s">
        <v>319</v>
      </c>
      <c r="G3" s="137"/>
    </row>
    <row r="4" spans="1:9" s="5" customFormat="1" ht="25.5" customHeight="1" x14ac:dyDescent="0.2">
      <c r="A4" s="42" t="s">
        <v>329</v>
      </c>
      <c r="B4" s="53" t="s">
        <v>230</v>
      </c>
      <c r="C4" s="53" t="s">
        <v>307</v>
      </c>
      <c r="D4" s="53" t="s">
        <v>346</v>
      </c>
      <c r="E4" s="54"/>
      <c r="F4" s="55" t="s">
        <v>344</v>
      </c>
      <c r="G4" s="55" t="s">
        <v>345</v>
      </c>
    </row>
    <row r="5" spans="1:9" s="5" customFormat="1" hidden="1" x14ac:dyDescent="0.2">
      <c r="A5" s="6"/>
      <c r="B5" s="7"/>
      <c r="C5" s="7"/>
      <c r="D5" s="7" t="e">
        <f>#REF!</f>
        <v>#REF!</v>
      </c>
      <c r="E5" s="4"/>
      <c r="F5" s="7"/>
      <c r="G5" s="7"/>
    </row>
    <row r="6" spans="1:9" s="5" customFormat="1" ht="22.5" customHeight="1" x14ac:dyDescent="0.2">
      <c r="A6" s="8" t="s">
        <v>329</v>
      </c>
      <c r="B6" s="4"/>
      <c r="C6" s="4"/>
      <c r="D6" s="4"/>
      <c r="E6" s="4"/>
      <c r="F6" s="4"/>
      <c r="G6" s="4"/>
    </row>
    <row r="7" spans="1:9" x14ac:dyDescent="0.2">
      <c r="A7" s="9" t="s">
        <v>135</v>
      </c>
      <c r="B7" s="10">
        <v>12906.83</v>
      </c>
      <c r="C7" s="10">
        <v>10057.5</v>
      </c>
      <c r="D7" s="10" t="e">
        <f>VLOOKUP(A7,#REF!,15,0)</f>
        <v>#REF!</v>
      </c>
      <c r="F7" s="10">
        <f>C7-B7</f>
        <v>-2849.33</v>
      </c>
      <c r="G7" s="10" t="e">
        <f>D7-C7</f>
        <v>#REF!</v>
      </c>
    </row>
    <row r="8" spans="1:9" x14ac:dyDescent="0.2">
      <c r="A8" s="13" t="s">
        <v>136</v>
      </c>
      <c r="B8" s="10">
        <v>2548.3000000000002</v>
      </c>
      <c r="C8" s="10">
        <v>4140.96</v>
      </c>
      <c r="D8" s="10" t="e">
        <f>VLOOKUP(A8,#REF!,15,0)</f>
        <v>#REF!</v>
      </c>
      <c r="F8" s="10">
        <f t="shared" ref="F8:F17" si="0">C8-B8</f>
        <v>1592.6599999999999</v>
      </c>
      <c r="G8" s="10" t="e">
        <f t="shared" ref="G8:G17" si="1">D8-C8</f>
        <v>#REF!</v>
      </c>
    </row>
    <row r="9" spans="1:9" x14ac:dyDescent="0.2">
      <c r="A9" s="13" t="s">
        <v>137</v>
      </c>
      <c r="B9" s="10">
        <v>3426.33</v>
      </c>
      <c r="C9" s="10">
        <v>11082.51</v>
      </c>
      <c r="D9" s="10" t="e">
        <f>VLOOKUP(A9,#REF!,15,0)</f>
        <v>#REF!</v>
      </c>
      <c r="F9" s="10">
        <f t="shared" si="0"/>
        <v>7656.18</v>
      </c>
      <c r="G9" s="10" t="e">
        <f t="shared" si="1"/>
        <v>#REF!</v>
      </c>
    </row>
    <row r="10" spans="1:9" x14ac:dyDescent="0.2">
      <c r="A10" s="13" t="s">
        <v>311</v>
      </c>
      <c r="B10" s="10">
        <v>18070.04</v>
      </c>
      <c r="C10" s="10">
        <v>9408</v>
      </c>
      <c r="D10" s="10" t="e">
        <f>VLOOKUP(A10,#REF!,15,0)</f>
        <v>#REF!</v>
      </c>
      <c r="F10" s="10">
        <f t="shared" si="0"/>
        <v>-8662.0400000000009</v>
      </c>
      <c r="G10" s="10" t="e">
        <f t="shared" si="1"/>
        <v>#REF!</v>
      </c>
    </row>
    <row r="11" spans="1:9" x14ac:dyDescent="0.2">
      <c r="A11" s="13" t="s">
        <v>341</v>
      </c>
      <c r="B11" s="10">
        <v>998.25</v>
      </c>
      <c r="C11" s="10">
        <v>0</v>
      </c>
      <c r="D11" s="10" t="e">
        <f>VLOOKUP(A11,#REF!,15,0)</f>
        <v>#REF!</v>
      </c>
      <c r="F11" s="10">
        <f t="shared" si="0"/>
        <v>-998.25</v>
      </c>
      <c r="G11" s="10" t="e">
        <f t="shared" si="1"/>
        <v>#REF!</v>
      </c>
    </row>
    <row r="12" spans="1:9" x14ac:dyDescent="0.2">
      <c r="A12" s="13" t="s">
        <v>340</v>
      </c>
      <c r="B12" s="10">
        <v>0</v>
      </c>
      <c r="C12" s="10">
        <v>0</v>
      </c>
      <c r="D12" s="10" t="e">
        <f>VLOOKUP(A12,#REF!,15,0)</f>
        <v>#REF!</v>
      </c>
      <c r="F12" s="10">
        <f t="shared" si="0"/>
        <v>0</v>
      </c>
      <c r="G12" s="10" t="e">
        <f t="shared" si="1"/>
        <v>#REF!</v>
      </c>
    </row>
    <row r="13" spans="1:9" x14ac:dyDescent="0.2">
      <c r="A13" s="13" t="s">
        <v>139</v>
      </c>
      <c r="B13" s="10">
        <v>73773.27</v>
      </c>
      <c r="C13" s="10">
        <v>72518.19</v>
      </c>
      <c r="D13" s="10" t="e">
        <f>VLOOKUP(A13,#REF!,15,0)</f>
        <v>#REF!</v>
      </c>
      <c r="F13" s="10">
        <f t="shared" si="0"/>
        <v>-1255.0800000000017</v>
      </c>
      <c r="G13" s="10" t="e">
        <f t="shared" si="1"/>
        <v>#REF!</v>
      </c>
    </row>
    <row r="14" spans="1:9" hidden="1" x14ac:dyDescent="0.2">
      <c r="A14" s="13" t="s">
        <v>140</v>
      </c>
      <c r="B14" s="10">
        <v>0</v>
      </c>
      <c r="C14" s="10">
        <v>0</v>
      </c>
      <c r="D14" s="10" t="e">
        <f>VLOOKUP(A14,#REF!,15,0)</f>
        <v>#REF!</v>
      </c>
      <c r="F14" s="10">
        <f t="shared" si="0"/>
        <v>0</v>
      </c>
      <c r="G14" s="10" t="e">
        <f t="shared" si="1"/>
        <v>#REF!</v>
      </c>
    </row>
    <row r="15" spans="1:9" x14ac:dyDescent="0.2">
      <c r="A15" s="13" t="s">
        <v>141</v>
      </c>
      <c r="B15" s="10">
        <v>15908.499999999998</v>
      </c>
      <c r="C15" s="10">
        <v>9178.4</v>
      </c>
      <c r="D15" s="10" t="e">
        <f>VLOOKUP(A15,#REF!,15,0)</f>
        <v>#REF!</v>
      </c>
      <c r="F15" s="10">
        <f t="shared" si="0"/>
        <v>-6730.0999999999985</v>
      </c>
      <c r="G15" s="10" t="e">
        <f t="shared" si="1"/>
        <v>#REF!</v>
      </c>
    </row>
    <row r="16" spans="1:9" x14ac:dyDescent="0.2">
      <c r="A16" s="13" t="s">
        <v>142</v>
      </c>
      <c r="B16" s="10">
        <v>11461.800000000001</v>
      </c>
      <c r="C16" s="10">
        <v>0</v>
      </c>
      <c r="D16" s="10" t="e">
        <f>VLOOKUP(A16,#REF!,15,0)</f>
        <v>#REF!</v>
      </c>
      <c r="F16" s="10">
        <f t="shared" si="0"/>
        <v>-11461.800000000001</v>
      </c>
      <c r="G16" s="10" t="e">
        <f t="shared" si="1"/>
        <v>#REF!</v>
      </c>
    </row>
    <row r="17" spans="1:8" x14ac:dyDescent="0.2">
      <c r="A17" s="13" t="s">
        <v>309</v>
      </c>
      <c r="B17" s="10">
        <v>0</v>
      </c>
      <c r="C17" s="10">
        <v>4740</v>
      </c>
      <c r="D17" s="10" t="e">
        <f>VLOOKUP(A17,#REF!,15,0)</f>
        <v>#REF!</v>
      </c>
      <c r="F17" s="10">
        <f t="shared" si="0"/>
        <v>4740</v>
      </c>
      <c r="G17" s="10" t="e">
        <f t="shared" si="1"/>
        <v>#REF!</v>
      </c>
    </row>
    <row r="18" spans="1:8" hidden="1" x14ac:dyDescent="0.2">
      <c r="A18" s="13" t="s">
        <v>115</v>
      </c>
      <c r="B18" s="10">
        <v>0</v>
      </c>
      <c r="C18" s="10">
        <v>0</v>
      </c>
      <c r="D18" s="10">
        <v>0</v>
      </c>
      <c r="F18" s="61" t="str">
        <f t="shared" ref="F18" si="2">IFERROR(C18/B18-1,"")</f>
        <v/>
      </c>
      <c r="G18" s="61" t="str">
        <f t="shared" ref="G18" si="3">IFERROR(D18/C18-1,"")</f>
        <v/>
      </c>
    </row>
    <row r="19" spans="1:8" s="5" customFormat="1" x14ac:dyDescent="0.2">
      <c r="A19" s="15" t="s">
        <v>328</v>
      </c>
      <c r="B19" s="16">
        <f>SUM(B7:B18)</f>
        <v>139093.32</v>
      </c>
      <c r="C19" s="16">
        <f>SUM(C7:C18)</f>
        <v>121125.56</v>
      </c>
      <c r="D19" s="16" t="e">
        <f>SUM(D7:D18)</f>
        <v>#REF!</v>
      </c>
      <c r="F19" s="16">
        <f t="shared" ref="F19:G19" si="4">SUM(F7:F18)</f>
        <v>-17967.760000000002</v>
      </c>
      <c r="G19" s="16" t="e">
        <f t="shared" si="4"/>
        <v>#REF!</v>
      </c>
    </row>
    <row r="20" spans="1:8" s="5" customFormat="1" ht="23.25" hidden="1" customHeight="1" x14ac:dyDescent="0.2">
      <c r="A20" s="8" t="s">
        <v>143</v>
      </c>
      <c r="B20" s="4"/>
      <c r="C20" s="4"/>
      <c r="D20" s="4"/>
      <c r="F20" s="4"/>
      <c r="G20" s="4"/>
      <c r="H20" s="12"/>
    </row>
    <row r="21" spans="1:8" hidden="1" x14ac:dyDescent="0.2">
      <c r="A21" s="9" t="s">
        <v>144</v>
      </c>
      <c r="B21" s="10">
        <v>900.07</v>
      </c>
      <c r="C21" s="10">
        <v>0</v>
      </c>
      <c r="D21" s="10">
        <f t="shared" ref="D21:D31" si="5">C21/12</f>
        <v>0</v>
      </c>
      <c r="F21" s="60">
        <f>C21-B21</f>
        <v>-900.07</v>
      </c>
      <c r="G21" s="61">
        <f>C21/B21-1</f>
        <v>-1</v>
      </c>
    </row>
    <row r="22" spans="1:8" hidden="1" x14ac:dyDescent="0.2">
      <c r="A22" s="13" t="s">
        <v>145</v>
      </c>
      <c r="B22" s="10">
        <v>0</v>
      </c>
      <c r="C22" s="10">
        <v>0</v>
      </c>
      <c r="D22" s="10">
        <f t="shared" si="5"/>
        <v>0</v>
      </c>
      <c r="F22" s="60">
        <f>C22-B22</f>
        <v>0</v>
      </c>
      <c r="G22" s="61" t="e">
        <f>C22/B22-1</f>
        <v>#DIV/0!</v>
      </c>
    </row>
    <row r="23" spans="1:8" hidden="1" x14ac:dyDescent="0.2">
      <c r="A23" s="13" t="s">
        <v>146</v>
      </c>
      <c r="B23" s="10">
        <v>3230</v>
      </c>
      <c r="C23" s="10">
        <v>0</v>
      </c>
      <c r="D23" s="10">
        <f t="shared" si="5"/>
        <v>0</v>
      </c>
      <c r="F23" s="60">
        <f>C23-B23</f>
        <v>-3230</v>
      </c>
      <c r="G23" s="61">
        <f>C23/B23-1</f>
        <v>-1</v>
      </c>
    </row>
    <row r="24" spans="1:8" hidden="1" x14ac:dyDescent="0.2">
      <c r="A24" s="13" t="s">
        <v>147</v>
      </c>
      <c r="B24" s="10">
        <v>21890</v>
      </c>
      <c r="C24" s="10">
        <v>0</v>
      </c>
      <c r="D24" s="10">
        <f t="shared" si="5"/>
        <v>0</v>
      </c>
      <c r="F24" s="60">
        <f>C24-B24</f>
        <v>-21890</v>
      </c>
      <c r="G24" s="61">
        <f>C24/B24-1</f>
        <v>-1</v>
      </c>
    </row>
    <row r="25" spans="1:8" hidden="1" x14ac:dyDescent="0.2">
      <c r="A25" s="13" t="s">
        <v>148</v>
      </c>
      <c r="B25" s="10">
        <v>0</v>
      </c>
      <c r="C25" s="10">
        <v>0</v>
      </c>
      <c r="D25" s="10">
        <f t="shared" si="5"/>
        <v>0</v>
      </c>
      <c r="F25" s="10">
        <v>0</v>
      </c>
      <c r="G25" s="57" t="e">
        <f>#REF!/#REF!</f>
        <v>#REF!</v>
      </c>
    </row>
    <row r="26" spans="1:8" hidden="1" x14ac:dyDescent="0.2">
      <c r="A26" s="13" t="s">
        <v>149</v>
      </c>
      <c r="B26" s="10">
        <v>0</v>
      </c>
      <c r="C26" s="10">
        <v>0</v>
      </c>
      <c r="D26" s="10">
        <f t="shared" si="5"/>
        <v>0</v>
      </c>
      <c r="F26" s="10">
        <v>0</v>
      </c>
      <c r="G26" s="57" t="e">
        <f>#REF!/#REF!</f>
        <v>#REF!</v>
      </c>
    </row>
    <row r="27" spans="1:8" hidden="1" x14ac:dyDescent="0.2">
      <c r="A27" s="13" t="s">
        <v>150</v>
      </c>
      <c r="B27" s="10">
        <v>0</v>
      </c>
      <c r="C27" s="10">
        <v>0</v>
      </c>
      <c r="D27" s="10">
        <f t="shared" si="5"/>
        <v>0</v>
      </c>
      <c r="F27" s="10">
        <v>0</v>
      </c>
      <c r="G27" s="57" t="e">
        <f>#REF!/#REF!</f>
        <v>#REF!</v>
      </c>
    </row>
    <row r="28" spans="1:8" hidden="1" x14ac:dyDescent="0.2">
      <c r="A28" s="13" t="s">
        <v>208</v>
      </c>
      <c r="B28" s="10">
        <v>0</v>
      </c>
      <c r="C28" s="10">
        <v>0</v>
      </c>
      <c r="D28" s="10">
        <f t="shared" si="5"/>
        <v>0</v>
      </c>
      <c r="F28" s="10">
        <v>0</v>
      </c>
      <c r="G28" s="57" t="e">
        <f>#REF!/#REF!</f>
        <v>#REF!</v>
      </c>
    </row>
    <row r="29" spans="1:8" hidden="1" x14ac:dyDescent="0.2">
      <c r="A29" s="13" t="s">
        <v>204</v>
      </c>
      <c r="B29" s="10">
        <v>0</v>
      </c>
      <c r="C29" s="10">
        <v>0</v>
      </c>
      <c r="D29" s="10">
        <f t="shared" si="5"/>
        <v>0</v>
      </c>
      <c r="F29" s="10">
        <v>0</v>
      </c>
      <c r="G29" s="57" t="e">
        <f>#REF!/#REF!</f>
        <v>#REF!</v>
      </c>
    </row>
    <row r="30" spans="1:8" hidden="1" x14ac:dyDescent="0.2">
      <c r="A30" s="13" t="s">
        <v>205</v>
      </c>
      <c r="B30" s="10">
        <v>0</v>
      </c>
      <c r="C30" s="10">
        <v>0</v>
      </c>
      <c r="D30" s="10">
        <f t="shared" si="5"/>
        <v>0</v>
      </c>
      <c r="F30" s="10">
        <v>0</v>
      </c>
      <c r="G30" s="57" t="e">
        <f>#REF!/#REF!</f>
        <v>#REF!</v>
      </c>
    </row>
    <row r="31" spans="1:8" hidden="1" x14ac:dyDescent="0.2">
      <c r="A31" s="13" t="s">
        <v>151</v>
      </c>
      <c r="B31" s="10">
        <v>0</v>
      </c>
      <c r="C31" s="10">
        <v>0</v>
      </c>
      <c r="D31" s="10">
        <f t="shared" si="5"/>
        <v>0</v>
      </c>
      <c r="F31" s="10">
        <v>0</v>
      </c>
      <c r="G31" s="57" t="e">
        <f>#REF!/#REF!</f>
        <v>#REF!</v>
      </c>
    </row>
    <row r="32" spans="1:8" hidden="1" x14ac:dyDescent="0.2">
      <c r="A32" s="15" t="s">
        <v>267</v>
      </c>
      <c r="B32" s="16">
        <f>SUM(B21:B31)</f>
        <v>26020.07</v>
      </c>
      <c r="C32" s="16">
        <f>SUM(C21:C31)</f>
        <v>0</v>
      </c>
      <c r="D32" s="16">
        <f>SUM(D21:D31)</f>
        <v>0</v>
      </c>
      <c r="F32" s="59">
        <f>SUM(F21:F31)</f>
        <v>-26020.07</v>
      </c>
      <c r="G32" s="62">
        <f>C32/B32-1</f>
        <v>-1</v>
      </c>
    </row>
    <row r="33" spans="6:7" x14ac:dyDescent="0.2">
      <c r="F33" s="62">
        <f>IFERROR(C19/B19-1,"")</f>
        <v>-0.12917773477547312</v>
      </c>
      <c r="G33" s="62" t="str">
        <f>IFERROR(D19/C19-1,"")</f>
        <v/>
      </c>
    </row>
  </sheetData>
  <mergeCells count="2">
    <mergeCell ref="F3:G3"/>
    <mergeCell ref="A1:I1"/>
  </mergeCells>
  <printOptions horizontalCentered="1"/>
  <pageMargins left="0.51181102362204722" right="0.51181102362204722" top="1.3779527559055118" bottom="0.78740157480314965" header="0.78740157480314965" footer="0.31496062992125984"/>
  <pageSetup paperSize="9" scale="110" orientation="landscape" horizontalDpi="1200" verticalDpi="1200" r:id="rId1"/>
  <headerFooter>
    <oddHeader>&amp;C&amp;"-,Negrito"&amp;28ASSOCIAÇÃO DAS IGREJAS DA OBRA REGIONAL - REGIÃO 06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J25"/>
  <sheetViews>
    <sheetView showGridLines="0" workbookViewId="0">
      <selection activeCell="A24" sqref="A24"/>
    </sheetView>
  </sheetViews>
  <sheetFormatPr defaultRowHeight="12.75" x14ac:dyDescent="0.2"/>
  <cols>
    <col min="1" max="1" width="46.85546875" style="12" customWidth="1"/>
    <col min="2" max="2" width="9.28515625" style="12" customWidth="1"/>
    <col min="3" max="3" width="8.85546875" style="12" customWidth="1"/>
    <col min="4" max="4" width="10.5703125" style="12" customWidth="1"/>
    <col min="5" max="5" width="2.140625" style="12" customWidth="1"/>
    <col min="6" max="6" width="8.42578125" style="12" customWidth="1"/>
    <col min="7" max="7" width="9.42578125" style="58" customWidth="1"/>
    <col min="8" max="245" width="9.140625" style="12"/>
    <col min="246" max="246" width="34.28515625" style="12" customWidth="1"/>
    <col min="247" max="254" width="10" style="12" bestFit="1" customWidth="1"/>
    <col min="255" max="255" width="10" style="12" customWidth="1"/>
    <col min="256" max="258" width="0" style="12" hidden="1" customWidth="1"/>
    <col min="259" max="259" width="2.140625" style="12" customWidth="1"/>
    <col min="260" max="260" width="11" style="12" bestFit="1" customWidth="1"/>
    <col min="261" max="261" width="3.85546875" style="12" customWidth="1"/>
    <col min="262" max="262" width="11.85546875" style="12" bestFit="1" customWidth="1"/>
    <col min="263" max="263" width="6.28515625" style="12" bestFit="1" customWidth="1"/>
    <col min="264" max="501" width="9.140625" style="12"/>
    <col min="502" max="502" width="34.28515625" style="12" customWidth="1"/>
    <col min="503" max="510" width="10" style="12" bestFit="1" customWidth="1"/>
    <col min="511" max="511" width="10" style="12" customWidth="1"/>
    <col min="512" max="514" width="0" style="12" hidden="1" customWidth="1"/>
    <col min="515" max="515" width="2.140625" style="12" customWidth="1"/>
    <col min="516" max="516" width="11" style="12" bestFit="1" customWidth="1"/>
    <col min="517" max="517" width="3.85546875" style="12" customWidth="1"/>
    <col min="518" max="518" width="11.85546875" style="12" bestFit="1" customWidth="1"/>
    <col min="519" max="519" width="6.28515625" style="12" bestFit="1" customWidth="1"/>
    <col min="520" max="757" width="9.140625" style="12"/>
    <col min="758" max="758" width="34.28515625" style="12" customWidth="1"/>
    <col min="759" max="766" width="10" style="12" bestFit="1" customWidth="1"/>
    <col min="767" max="767" width="10" style="12" customWidth="1"/>
    <col min="768" max="770" width="0" style="12" hidden="1" customWidth="1"/>
    <col min="771" max="771" width="2.140625" style="12" customWidth="1"/>
    <col min="772" max="772" width="11" style="12" bestFit="1" customWidth="1"/>
    <col min="773" max="773" width="3.85546875" style="12" customWidth="1"/>
    <col min="774" max="774" width="11.85546875" style="12" bestFit="1" customWidth="1"/>
    <col min="775" max="775" width="6.28515625" style="12" bestFit="1" customWidth="1"/>
    <col min="776" max="1013" width="9.140625" style="12"/>
    <col min="1014" max="1014" width="34.28515625" style="12" customWidth="1"/>
    <col min="1015" max="1022" width="10" style="12" bestFit="1" customWidth="1"/>
    <col min="1023" max="1023" width="10" style="12" customWidth="1"/>
    <col min="1024" max="1026" width="0" style="12" hidden="1" customWidth="1"/>
    <col min="1027" max="1027" width="2.140625" style="12" customWidth="1"/>
    <col min="1028" max="1028" width="11" style="12" bestFit="1" customWidth="1"/>
    <col min="1029" max="1029" width="3.85546875" style="12" customWidth="1"/>
    <col min="1030" max="1030" width="11.85546875" style="12" bestFit="1" customWidth="1"/>
    <col min="1031" max="1031" width="6.28515625" style="12" bestFit="1" customWidth="1"/>
    <col min="1032" max="1269" width="9.140625" style="12"/>
    <col min="1270" max="1270" width="34.28515625" style="12" customWidth="1"/>
    <col min="1271" max="1278" width="10" style="12" bestFit="1" customWidth="1"/>
    <col min="1279" max="1279" width="10" style="12" customWidth="1"/>
    <col min="1280" max="1282" width="0" style="12" hidden="1" customWidth="1"/>
    <col min="1283" max="1283" width="2.140625" style="12" customWidth="1"/>
    <col min="1284" max="1284" width="11" style="12" bestFit="1" customWidth="1"/>
    <col min="1285" max="1285" width="3.85546875" style="12" customWidth="1"/>
    <col min="1286" max="1286" width="11.85546875" style="12" bestFit="1" customWidth="1"/>
    <col min="1287" max="1287" width="6.28515625" style="12" bestFit="1" customWidth="1"/>
    <col min="1288" max="1525" width="9.140625" style="12"/>
    <col min="1526" max="1526" width="34.28515625" style="12" customWidth="1"/>
    <col min="1527" max="1534" width="10" style="12" bestFit="1" customWidth="1"/>
    <col min="1535" max="1535" width="10" style="12" customWidth="1"/>
    <col min="1536" max="1538" width="0" style="12" hidden="1" customWidth="1"/>
    <col min="1539" max="1539" width="2.140625" style="12" customWidth="1"/>
    <col min="1540" max="1540" width="11" style="12" bestFit="1" customWidth="1"/>
    <col min="1541" max="1541" width="3.85546875" style="12" customWidth="1"/>
    <col min="1542" max="1542" width="11.85546875" style="12" bestFit="1" customWidth="1"/>
    <col min="1543" max="1543" width="6.28515625" style="12" bestFit="1" customWidth="1"/>
    <col min="1544" max="1781" width="9.140625" style="12"/>
    <col min="1782" max="1782" width="34.28515625" style="12" customWidth="1"/>
    <col min="1783" max="1790" width="10" style="12" bestFit="1" customWidth="1"/>
    <col min="1791" max="1791" width="10" style="12" customWidth="1"/>
    <col min="1792" max="1794" width="0" style="12" hidden="1" customWidth="1"/>
    <col min="1795" max="1795" width="2.140625" style="12" customWidth="1"/>
    <col min="1796" max="1796" width="11" style="12" bestFit="1" customWidth="1"/>
    <col min="1797" max="1797" width="3.85546875" style="12" customWidth="1"/>
    <col min="1798" max="1798" width="11.85546875" style="12" bestFit="1" customWidth="1"/>
    <col min="1799" max="1799" width="6.28515625" style="12" bestFit="1" customWidth="1"/>
    <col min="1800" max="2037" width="9.140625" style="12"/>
    <col min="2038" max="2038" width="34.28515625" style="12" customWidth="1"/>
    <col min="2039" max="2046" width="10" style="12" bestFit="1" customWidth="1"/>
    <col min="2047" max="2047" width="10" style="12" customWidth="1"/>
    <col min="2048" max="2050" width="0" style="12" hidden="1" customWidth="1"/>
    <col min="2051" max="2051" width="2.140625" style="12" customWidth="1"/>
    <col min="2052" max="2052" width="11" style="12" bestFit="1" customWidth="1"/>
    <col min="2053" max="2053" width="3.85546875" style="12" customWidth="1"/>
    <col min="2054" max="2054" width="11.85546875" style="12" bestFit="1" customWidth="1"/>
    <col min="2055" max="2055" width="6.28515625" style="12" bestFit="1" customWidth="1"/>
    <col min="2056" max="2293" width="9.140625" style="12"/>
    <col min="2294" max="2294" width="34.28515625" style="12" customWidth="1"/>
    <col min="2295" max="2302" width="10" style="12" bestFit="1" customWidth="1"/>
    <col min="2303" max="2303" width="10" style="12" customWidth="1"/>
    <col min="2304" max="2306" width="0" style="12" hidden="1" customWidth="1"/>
    <col min="2307" max="2307" width="2.140625" style="12" customWidth="1"/>
    <col min="2308" max="2308" width="11" style="12" bestFit="1" customWidth="1"/>
    <col min="2309" max="2309" width="3.85546875" style="12" customWidth="1"/>
    <col min="2310" max="2310" width="11.85546875" style="12" bestFit="1" customWidth="1"/>
    <col min="2311" max="2311" width="6.28515625" style="12" bestFit="1" customWidth="1"/>
    <col min="2312" max="2549" width="9.140625" style="12"/>
    <col min="2550" max="2550" width="34.28515625" style="12" customWidth="1"/>
    <col min="2551" max="2558" width="10" style="12" bestFit="1" customWidth="1"/>
    <col min="2559" max="2559" width="10" style="12" customWidth="1"/>
    <col min="2560" max="2562" width="0" style="12" hidden="1" customWidth="1"/>
    <col min="2563" max="2563" width="2.140625" style="12" customWidth="1"/>
    <col min="2564" max="2564" width="11" style="12" bestFit="1" customWidth="1"/>
    <col min="2565" max="2565" width="3.85546875" style="12" customWidth="1"/>
    <col min="2566" max="2566" width="11.85546875" style="12" bestFit="1" customWidth="1"/>
    <col min="2567" max="2567" width="6.28515625" style="12" bestFit="1" customWidth="1"/>
    <col min="2568" max="2805" width="9.140625" style="12"/>
    <col min="2806" max="2806" width="34.28515625" style="12" customWidth="1"/>
    <col min="2807" max="2814" width="10" style="12" bestFit="1" customWidth="1"/>
    <col min="2815" max="2815" width="10" style="12" customWidth="1"/>
    <col min="2816" max="2818" width="0" style="12" hidden="1" customWidth="1"/>
    <col min="2819" max="2819" width="2.140625" style="12" customWidth="1"/>
    <col min="2820" max="2820" width="11" style="12" bestFit="1" customWidth="1"/>
    <col min="2821" max="2821" width="3.85546875" style="12" customWidth="1"/>
    <col min="2822" max="2822" width="11.85546875" style="12" bestFit="1" customWidth="1"/>
    <col min="2823" max="2823" width="6.28515625" style="12" bestFit="1" customWidth="1"/>
    <col min="2824" max="3061" width="9.140625" style="12"/>
    <col min="3062" max="3062" width="34.28515625" style="12" customWidth="1"/>
    <col min="3063" max="3070" width="10" style="12" bestFit="1" customWidth="1"/>
    <col min="3071" max="3071" width="10" style="12" customWidth="1"/>
    <col min="3072" max="3074" width="0" style="12" hidden="1" customWidth="1"/>
    <col min="3075" max="3075" width="2.140625" style="12" customWidth="1"/>
    <col min="3076" max="3076" width="11" style="12" bestFit="1" customWidth="1"/>
    <col min="3077" max="3077" width="3.85546875" style="12" customWidth="1"/>
    <col min="3078" max="3078" width="11.85546875" style="12" bestFit="1" customWidth="1"/>
    <col min="3079" max="3079" width="6.28515625" style="12" bestFit="1" customWidth="1"/>
    <col min="3080" max="3317" width="9.140625" style="12"/>
    <col min="3318" max="3318" width="34.28515625" style="12" customWidth="1"/>
    <col min="3319" max="3326" width="10" style="12" bestFit="1" customWidth="1"/>
    <col min="3327" max="3327" width="10" style="12" customWidth="1"/>
    <col min="3328" max="3330" width="0" style="12" hidden="1" customWidth="1"/>
    <col min="3331" max="3331" width="2.140625" style="12" customWidth="1"/>
    <col min="3332" max="3332" width="11" style="12" bestFit="1" customWidth="1"/>
    <col min="3333" max="3333" width="3.85546875" style="12" customWidth="1"/>
    <col min="3334" max="3334" width="11.85546875" style="12" bestFit="1" customWidth="1"/>
    <col min="3335" max="3335" width="6.28515625" style="12" bestFit="1" customWidth="1"/>
    <col min="3336" max="3573" width="9.140625" style="12"/>
    <col min="3574" max="3574" width="34.28515625" style="12" customWidth="1"/>
    <col min="3575" max="3582" width="10" style="12" bestFit="1" customWidth="1"/>
    <col min="3583" max="3583" width="10" style="12" customWidth="1"/>
    <col min="3584" max="3586" width="0" style="12" hidden="1" customWidth="1"/>
    <col min="3587" max="3587" width="2.140625" style="12" customWidth="1"/>
    <col min="3588" max="3588" width="11" style="12" bestFit="1" customWidth="1"/>
    <col min="3589" max="3589" width="3.85546875" style="12" customWidth="1"/>
    <col min="3590" max="3590" width="11.85546875" style="12" bestFit="1" customWidth="1"/>
    <col min="3591" max="3591" width="6.28515625" style="12" bestFit="1" customWidth="1"/>
    <col min="3592" max="3829" width="9.140625" style="12"/>
    <col min="3830" max="3830" width="34.28515625" style="12" customWidth="1"/>
    <col min="3831" max="3838" width="10" style="12" bestFit="1" customWidth="1"/>
    <col min="3839" max="3839" width="10" style="12" customWidth="1"/>
    <col min="3840" max="3842" width="0" style="12" hidden="1" customWidth="1"/>
    <col min="3843" max="3843" width="2.140625" style="12" customWidth="1"/>
    <col min="3844" max="3844" width="11" style="12" bestFit="1" customWidth="1"/>
    <col min="3845" max="3845" width="3.85546875" style="12" customWidth="1"/>
    <col min="3846" max="3846" width="11.85546875" style="12" bestFit="1" customWidth="1"/>
    <col min="3847" max="3847" width="6.28515625" style="12" bestFit="1" customWidth="1"/>
    <col min="3848" max="4085" width="9.140625" style="12"/>
    <col min="4086" max="4086" width="34.28515625" style="12" customWidth="1"/>
    <col min="4087" max="4094" width="10" style="12" bestFit="1" customWidth="1"/>
    <col min="4095" max="4095" width="10" style="12" customWidth="1"/>
    <col min="4096" max="4098" width="0" style="12" hidden="1" customWidth="1"/>
    <col min="4099" max="4099" width="2.140625" style="12" customWidth="1"/>
    <col min="4100" max="4100" width="11" style="12" bestFit="1" customWidth="1"/>
    <col min="4101" max="4101" width="3.85546875" style="12" customWidth="1"/>
    <col min="4102" max="4102" width="11.85546875" style="12" bestFit="1" customWidth="1"/>
    <col min="4103" max="4103" width="6.28515625" style="12" bestFit="1" customWidth="1"/>
    <col min="4104" max="4341" width="9.140625" style="12"/>
    <col min="4342" max="4342" width="34.28515625" style="12" customWidth="1"/>
    <col min="4343" max="4350" width="10" style="12" bestFit="1" customWidth="1"/>
    <col min="4351" max="4351" width="10" style="12" customWidth="1"/>
    <col min="4352" max="4354" width="0" style="12" hidden="1" customWidth="1"/>
    <col min="4355" max="4355" width="2.140625" style="12" customWidth="1"/>
    <col min="4356" max="4356" width="11" style="12" bestFit="1" customWidth="1"/>
    <col min="4357" max="4357" width="3.85546875" style="12" customWidth="1"/>
    <col min="4358" max="4358" width="11.85546875" style="12" bestFit="1" customWidth="1"/>
    <col min="4359" max="4359" width="6.28515625" style="12" bestFit="1" customWidth="1"/>
    <col min="4360" max="4597" width="9.140625" style="12"/>
    <col min="4598" max="4598" width="34.28515625" style="12" customWidth="1"/>
    <col min="4599" max="4606" width="10" style="12" bestFit="1" customWidth="1"/>
    <col min="4607" max="4607" width="10" style="12" customWidth="1"/>
    <col min="4608" max="4610" width="0" style="12" hidden="1" customWidth="1"/>
    <col min="4611" max="4611" width="2.140625" style="12" customWidth="1"/>
    <col min="4612" max="4612" width="11" style="12" bestFit="1" customWidth="1"/>
    <col min="4613" max="4613" width="3.85546875" style="12" customWidth="1"/>
    <col min="4614" max="4614" width="11.85546875" style="12" bestFit="1" customWidth="1"/>
    <col min="4615" max="4615" width="6.28515625" style="12" bestFit="1" customWidth="1"/>
    <col min="4616" max="4853" width="9.140625" style="12"/>
    <col min="4854" max="4854" width="34.28515625" style="12" customWidth="1"/>
    <col min="4855" max="4862" width="10" style="12" bestFit="1" customWidth="1"/>
    <col min="4863" max="4863" width="10" style="12" customWidth="1"/>
    <col min="4864" max="4866" width="0" style="12" hidden="1" customWidth="1"/>
    <col min="4867" max="4867" width="2.140625" style="12" customWidth="1"/>
    <col min="4868" max="4868" width="11" style="12" bestFit="1" customWidth="1"/>
    <col min="4869" max="4869" width="3.85546875" style="12" customWidth="1"/>
    <col min="4870" max="4870" width="11.85546875" style="12" bestFit="1" customWidth="1"/>
    <col min="4871" max="4871" width="6.28515625" style="12" bestFit="1" customWidth="1"/>
    <col min="4872" max="5109" width="9.140625" style="12"/>
    <col min="5110" max="5110" width="34.28515625" style="12" customWidth="1"/>
    <col min="5111" max="5118" width="10" style="12" bestFit="1" customWidth="1"/>
    <col min="5119" max="5119" width="10" style="12" customWidth="1"/>
    <col min="5120" max="5122" width="0" style="12" hidden="1" customWidth="1"/>
    <col min="5123" max="5123" width="2.140625" style="12" customWidth="1"/>
    <col min="5124" max="5124" width="11" style="12" bestFit="1" customWidth="1"/>
    <col min="5125" max="5125" width="3.85546875" style="12" customWidth="1"/>
    <col min="5126" max="5126" width="11.85546875" style="12" bestFit="1" customWidth="1"/>
    <col min="5127" max="5127" width="6.28515625" style="12" bestFit="1" customWidth="1"/>
    <col min="5128" max="5365" width="9.140625" style="12"/>
    <col min="5366" max="5366" width="34.28515625" style="12" customWidth="1"/>
    <col min="5367" max="5374" width="10" style="12" bestFit="1" customWidth="1"/>
    <col min="5375" max="5375" width="10" style="12" customWidth="1"/>
    <col min="5376" max="5378" width="0" style="12" hidden="1" customWidth="1"/>
    <col min="5379" max="5379" width="2.140625" style="12" customWidth="1"/>
    <col min="5380" max="5380" width="11" style="12" bestFit="1" customWidth="1"/>
    <col min="5381" max="5381" width="3.85546875" style="12" customWidth="1"/>
    <col min="5382" max="5382" width="11.85546875" style="12" bestFit="1" customWidth="1"/>
    <col min="5383" max="5383" width="6.28515625" style="12" bestFit="1" customWidth="1"/>
    <col min="5384" max="5621" width="9.140625" style="12"/>
    <col min="5622" max="5622" width="34.28515625" style="12" customWidth="1"/>
    <col min="5623" max="5630" width="10" style="12" bestFit="1" customWidth="1"/>
    <col min="5631" max="5631" width="10" style="12" customWidth="1"/>
    <col min="5632" max="5634" width="0" style="12" hidden="1" customWidth="1"/>
    <col min="5635" max="5635" width="2.140625" style="12" customWidth="1"/>
    <col min="5636" max="5636" width="11" style="12" bestFit="1" customWidth="1"/>
    <col min="5637" max="5637" width="3.85546875" style="12" customWidth="1"/>
    <col min="5638" max="5638" width="11.85546875" style="12" bestFit="1" customWidth="1"/>
    <col min="5639" max="5639" width="6.28515625" style="12" bestFit="1" customWidth="1"/>
    <col min="5640" max="5877" width="9.140625" style="12"/>
    <col min="5878" max="5878" width="34.28515625" style="12" customWidth="1"/>
    <col min="5879" max="5886" width="10" style="12" bestFit="1" customWidth="1"/>
    <col min="5887" max="5887" width="10" style="12" customWidth="1"/>
    <col min="5888" max="5890" width="0" style="12" hidden="1" customWidth="1"/>
    <col min="5891" max="5891" width="2.140625" style="12" customWidth="1"/>
    <col min="5892" max="5892" width="11" style="12" bestFit="1" customWidth="1"/>
    <col min="5893" max="5893" width="3.85546875" style="12" customWidth="1"/>
    <col min="5894" max="5894" width="11.85546875" style="12" bestFit="1" customWidth="1"/>
    <col min="5895" max="5895" width="6.28515625" style="12" bestFit="1" customWidth="1"/>
    <col min="5896" max="6133" width="9.140625" style="12"/>
    <col min="6134" max="6134" width="34.28515625" style="12" customWidth="1"/>
    <col min="6135" max="6142" width="10" style="12" bestFit="1" customWidth="1"/>
    <col min="6143" max="6143" width="10" style="12" customWidth="1"/>
    <col min="6144" max="6146" width="0" style="12" hidden="1" customWidth="1"/>
    <col min="6147" max="6147" width="2.140625" style="12" customWidth="1"/>
    <col min="6148" max="6148" width="11" style="12" bestFit="1" customWidth="1"/>
    <col min="6149" max="6149" width="3.85546875" style="12" customWidth="1"/>
    <col min="6150" max="6150" width="11.85546875" style="12" bestFit="1" customWidth="1"/>
    <col min="6151" max="6151" width="6.28515625" style="12" bestFit="1" customWidth="1"/>
    <col min="6152" max="6389" width="9.140625" style="12"/>
    <col min="6390" max="6390" width="34.28515625" style="12" customWidth="1"/>
    <col min="6391" max="6398" width="10" style="12" bestFit="1" customWidth="1"/>
    <col min="6399" max="6399" width="10" style="12" customWidth="1"/>
    <col min="6400" max="6402" width="0" style="12" hidden="1" customWidth="1"/>
    <col min="6403" max="6403" width="2.140625" style="12" customWidth="1"/>
    <col min="6404" max="6404" width="11" style="12" bestFit="1" customWidth="1"/>
    <col min="6405" max="6405" width="3.85546875" style="12" customWidth="1"/>
    <col min="6406" max="6406" width="11.85546875" style="12" bestFit="1" customWidth="1"/>
    <col min="6407" max="6407" width="6.28515625" style="12" bestFit="1" customWidth="1"/>
    <col min="6408" max="6645" width="9.140625" style="12"/>
    <col min="6646" max="6646" width="34.28515625" style="12" customWidth="1"/>
    <col min="6647" max="6654" width="10" style="12" bestFit="1" customWidth="1"/>
    <col min="6655" max="6655" width="10" style="12" customWidth="1"/>
    <col min="6656" max="6658" width="0" style="12" hidden="1" customWidth="1"/>
    <col min="6659" max="6659" width="2.140625" style="12" customWidth="1"/>
    <col min="6660" max="6660" width="11" style="12" bestFit="1" customWidth="1"/>
    <col min="6661" max="6661" width="3.85546875" style="12" customWidth="1"/>
    <col min="6662" max="6662" width="11.85546875" style="12" bestFit="1" customWidth="1"/>
    <col min="6663" max="6663" width="6.28515625" style="12" bestFit="1" customWidth="1"/>
    <col min="6664" max="6901" width="9.140625" style="12"/>
    <col min="6902" max="6902" width="34.28515625" style="12" customWidth="1"/>
    <col min="6903" max="6910" width="10" style="12" bestFit="1" customWidth="1"/>
    <col min="6911" max="6911" width="10" style="12" customWidth="1"/>
    <col min="6912" max="6914" width="0" style="12" hidden="1" customWidth="1"/>
    <col min="6915" max="6915" width="2.140625" style="12" customWidth="1"/>
    <col min="6916" max="6916" width="11" style="12" bestFit="1" customWidth="1"/>
    <col min="6917" max="6917" width="3.85546875" style="12" customWidth="1"/>
    <col min="6918" max="6918" width="11.85546875" style="12" bestFit="1" customWidth="1"/>
    <col min="6919" max="6919" width="6.28515625" style="12" bestFit="1" customWidth="1"/>
    <col min="6920" max="7157" width="9.140625" style="12"/>
    <col min="7158" max="7158" width="34.28515625" style="12" customWidth="1"/>
    <col min="7159" max="7166" width="10" style="12" bestFit="1" customWidth="1"/>
    <col min="7167" max="7167" width="10" style="12" customWidth="1"/>
    <col min="7168" max="7170" width="0" style="12" hidden="1" customWidth="1"/>
    <col min="7171" max="7171" width="2.140625" style="12" customWidth="1"/>
    <col min="7172" max="7172" width="11" style="12" bestFit="1" customWidth="1"/>
    <col min="7173" max="7173" width="3.85546875" style="12" customWidth="1"/>
    <col min="7174" max="7174" width="11.85546875" style="12" bestFit="1" customWidth="1"/>
    <col min="7175" max="7175" width="6.28515625" style="12" bestFit="1" customWidth="1"/>
    <col min="7176" max="7413" width="9.140625" style="12"/>
    <col min="7414" max="7414" width="34.28515625" style="12" customWidth="1"/>
    <col min="7415" max="7422" width="10" style="12" bestFit="1" customWidth="1"/>
    <col min="7423" max="7423" width="10" style="12" customWidth="1"/>
    <col min="7424" max="7426" width="0" style="12" hidden="1" customWidth="1"/>
    <col min="7427" max="7427" width="2.140625" style="12" customWidth="1"/>
    <col min="7428" max="7428" width="11" style="12" bestFit="1" customWidth="1"/>
    <col min="7429" max="7429" width="3.85546875" style="12" customWidth="1"/>
    <col min="7430" max="7430" width="11.85546875" style="12" bestFit="1" customWidth="1"/>
    <col min="7431" max="7431" width="6.28515625" style="12" bestFit="1" customWidth="1"/>
    <col min="7432" max="7669" width="9.140625" style="12"/>
    <col min="7670" max="7670" width="34.28515625" style="12" customWidth="1"/>
    <col min="7671" max="7678" width="10" style="12" bestFit="1" customWidth="1"/>
    <col min="7679" max="7679" width="10" style="12" customWidth="1"/>
    <col min="7680" max="7682" width="0" style="12" hidden="1" customWidth="1"/>
    <col min="7683" max="7683" width="2.140625" style="12" customWidth="1"/>
    <col min="7684" max="7684" width="11" style="12" bestFit="1" customWidth="1"/>
    <col min="7685" max="7685" width="3.85546875" style="12" customWidth="1"/>
    <col min="7686" max="7686" width="11.85546875" style="12" bestFit="1" customWidth="1"/>
    <col min="7687" max="7687" width="6.28515625" style="12" bestFit="1" customWidth="1"/>
    <col min="7688" max="7925" width="9.140625" style="12"/>
    <col min="7926" max="7926" width="34.28515625" style="12" customWidth="1"/>
    <col min="7927" max="7934" width="10" style="12" bestFit="1" customWidth="1"/>
    <col min="7935" max="7935" width="10" style="12" customWidth="1"/>
    <col min="7936" max="7938" width="0" style="12" hidden="1" customWidth="1"/>
    <col min="7939" max="7939" width="2.140625" style="12" customWidth="1"/>
    <col min="7940" max="7940" width="11" style="12" bestFit="1" customWidth="1"/>
    <col min="7941" max="7941" width="3.85546875" style="12" customWidth="1"/>
    <col min="7942" max="7942" width="11.85546875" style="12" bestFit="1" customWidth="1"/>
    <col min="7943" max="7943" width="6.28515625" style="12" bestFit="1" customWidth="1"/>
    <col min="7944" max="8181" width="9.140625" style="12"/>
    <col min="8182" max="8182" width="34.28515625" style="12" customWidth="1"/>
    <col min="8183" max="8190" width="10" style="12" bestFit="1" customWidth="1"/>
    <col min="8191" max="8191" width="10" style="12" customWidth="1"/>
    <col min="8192" max="8194" width="0" style="12" hidden="1" customWidth="1"/>
    <col min="8195" max="8195" width="2.140625" style="12" customWidth="1"/>
    <col min="8196" max="8196" width="11" style="12" bestFit="1" customWidth="1"/>
    <col min="8197" max="8197" width="3.85546875" style="12" customWidth="1"/>
    <col min="8198" max="8198" width="11.85546875" style="12" bestFit="1" customWidth="1"/>
    <col min="8199" max="8199" width="6.28515625" style="12" bestFit="1" customWidth="1"/>
    <col min="8200" max="8437" width="9.140625" style="12"/>
    <col min="8438" max="8438" width="34.28515625" style="12" customWidth="1"/>
    <col min="8439" max="8446" width="10" style="12" bestFit="1" customWidth="1"/>
    <col min="8447" max="8447" width="10" style="12" customWidth="1"/>
    <col min="8448" max="8450" width="0" style="12" hidden="1" customWidth="1"/>
    <col min="8451" max="8451" width="2.140625" style="12" customWidth="1"/>
    <col min="8452" max="8452" width="11" style="12" bestFit="1" customWidth="1"/>
    <col min="8453" max="8453" width="3.85546875" style="12" customWidth="1"/>
    <col min="8454" max="8454" width="11.85546875" style="12" bestFit="1" customWidth="1"/>
    <col min="8455" max="8455" width="6.28515625" style="12" bestFit="1" customWidth="1"/>
    <col min="8456" max="8693" width="9.140625" style="12"/>
    <col min="8694" max="8694" width="34.28515625" style="12" customWidth="1"/>
    <col min="8695" max="8702" width="10" style="12" bestFit="1" customWidth="1"/>
    <col min="8703" max="8703" width="10" style="12" customWidth="1"/>
    <col min="8704" max="8706" width="0" style="12" hidden="1" customWidth="1"/>
    <col min="8707" max="8707" width="2.140625" style="12" customWidth="1"/>
    <col min="8708" max="8708" width="11" style="12" bestFit="1" customWidth="1"/>
    <col min="8709" max="8709" width="3.85546875" style="12" customWidth="1"/>
    <col min="8710" max="8710" width="11.85546875" style="12" bestFit="1" customWidth="1"/>
    <col min="8711" max="8711" width="6.28515625" style="12" bestFit="1" customWidth="1"/>
    <col min="8712" max="8949" width="9.140625" style="12"/>
    <col min="8950" max="8950" width="34.28515625" style="12" customWidth="1"/>
    <col min="8951" max="8958" width="10" style="12" bestFit="1" customWidth="1"/>
    <col min="8959" max="8959" width="10" style="12" customWidth="1"/>
    <col min="8960" max="8962" width="0" style="12" hidden="1" customWidth="1"/>
    <col min="8963" max="8963" width="2.140625" style="12" customWidth="1"/>
    <col min="8964" max="8964" width="11" style="12" bestFit="1" customWidth="1"/>
    <col min="8965" max="8965" width="3.85546875" style="12" customWidth="1"/>
    <col min="8966" max="8966" width="11.85546875" style="12" bestFit="1" customWidth="1"/>
    <col min="8967" max="8967" width="6.28515625" style="12" bestFit="1" customWidth="1"/>
    <col min="8968" max="9205" width="9.140625" style="12"/>
    <col min="9206" max="9206" width="34.28515625" style="12" customWidth="1"/>
    <col min="9207" max="9214" width="10" style="12" bestFit="1" customWidth="1"/>
    <col min="9215" max="9215" width="10" style="12" customWidth="1"/>
    <col min="9216" max="9218" width="0" style="12" hidden="1" customWidth="1"/>
    <col min="9219" max="9219" width="2.140625" style="12" customWidth="1"/>
    <col min="9220" max="9220" width="11" style="12" bestFit="1" customWidth="1"/>
    <col min="9221" max="9221" width="3.85546875" style="12" customWidth="1"/>
    <col min="9222" max="9222" width="11.85546875" style="12" bestFit="1" customWidth="1"/>
    <col min="9223" max="9223" width="6.28515625" style="12" bestFit="1" customWidth="1"/>
    <col min="9224" max="9461" width="9.140625" style="12"/>
    <col min="9462" max="9462" width="34.28515625" style="12" customWidth="1"/>
    <col min="9463" max="9470" width="10" style="12" bestFit="1" customWidth="1"/>
    <col min="9471" max="9471" width="10" style="12" customWidth="1"/>
    <col min="9472" max="9474" width="0" style="12" hidden="1" customWidth="1"/>
    <col min="9475" max="9475" width="2.140625" style="12" customWidth="1"/>
    <col min="9476" max="9476" width="11" style="12" bestFit="1" customWidth="1"/>
    <col min="9477" max="9477" width="3.85546875" style="12" customWidth="1"/>
    <col min="9478" max="9478" width="11.85546875" style="12" bestFit="1" customWidth="1"/>
    <col min="9479" max="9479" width="6.28515625" style="12" bestFit="1" customWidth="1"/>
    <col min="9480" max="9717" width="9.140625" style="12"/>
    <col min="9718" max="9718" width="34.28515625" style="12" customWidth="1"/>
    <col min="9719" max="9726" width="10" style="12" bestFit="1" customWidth="1"/>
    <col min="9727" max="9727" width="10" style="12" customWidth="1"/>
    <col min="9728" max="9730" width="0" style="12" hidden="1" customWidth="1"/>
    <col min="9731" max="9731" width="2.140625" style="12" customWidth="1"/>
    <col min="9732" max="9732" width="11" style="12" bestFit="1" customWidth="1"/>
    <col min="9733" max="9733" width="3.85546875" style="12" customWidth="1"/>
    <col min="9734" max="9734" width="11.85546875" style="12" bestFit="1" customWidth="1"/>
    <col min="9735" max="9735" width="6.28515625" style="12" bestFit="1" customWidth="1"/>
    <col min="9736" max="9973" width="9.140625" style="12"/>
    <col min="9974" max="9974" width="34.28515625" style="12" customWidth="1"/>
    <col min="9975" max="9982" width="10" style="12" bestFit="1" customWidth="1"/>
    <col min="9983" max="9983" width="10" style="12" customWidth="1"/>
    <col min="9984" max="9986" width="0" style="12" hidden="1" customWidth="1"/>
    <col min="9987" max="9987" width="2.140625" style="12" customWidth="1"/>
    <col min="9988" max="9988" width="11" style="12" bestFit="1" customWidth="1"/>
    <col min="9989" max="9989" width="3.85546875" style="12" customWidth="1"/>
    <col min="9990" max="9990" width="11.85546875" style="12" bestFit="1" customWidth="1"/>
    <col min="9991" max="9991" width="6.28515625" style="12" bestFit="1" customWidth="1"/>
    <col min="9992" max="10229" width="9.140625" style="12"/>
    <col min="10230" max="10230" width="34.28515625" style="12" customWidth="1"/>
    <col min="10231" max="10238" width="10" style="12" bestFit="1" customWidth="1"/>
    <col min="10239" max="10239" width="10" style="12" customWidth="1"/>
    <col min="10240" max="10242" width="0" style="12" hidden="1" customWidth="1"/>
    <col min="10243" max="10243" width="2.140625" style="12" customWidth="1"/>
    <col min="10244" max="10244" width="11" style="12" bestFit="1" customWidth="1"/>
    <col min="10245" max="10245" width="3.85546875" style="12" customWidth="1"/>
    <col min="10246" max="10246" width="11.85546875" style="12" bestFit="1" customWidth="1"/>
    <col min="10247" max="10247" width="6.28515625" style="12" bestFit="1" customWidth="1"/>
    <col min="10248" max="10485" width="9.140625" style="12"/>
    <col min="10486" max="10486" width="34.28515625" style="12" customWidth="1"/>
    <col min="10487" max="10494" width="10" style="12" bestFit="1" customWidth="1"/>
    <col min="10495" max="10495" width="10" style="12" customWidth="1"/>
    <col min="10496" max="10498" width="0" style="12" hidden="1" customWidth="1"/>
    <col min="10499" max="10499" width="2.140625" style="12" customWidth="1"/>
    <col min="10500" max="10500" width="11" style="12" bestFit="1" customWidth="1"/>
    <col min="10501" max="10501" width="3.85546875" style="12" customWidth="1"/>
    <col min="10502" max="10502" width="11.85546875" style="12" bestFit="1" customWidth="1"/>
    <col min="10503" max="10503" width="6.28515625" style="12" bestFit="1" customWidth="1"/>
    <col min="10504" max="10741" width="9.140625" style="12"/>
    <col min="10742" max="10742" width="34.28515625" style="12" customWidth="1"/>
    <col min="10743" max="10750" width="10" style="12" bestFit="1" customWidth="1"/>
    <col min="10751" max="10751" width="10" style="12" customWidth="1"/>
    <col min="10752" max="10754" width="0" style="12" hidden="1" customWidth="1"/>
    <col min="10755" max="10755" width="2.140625" style="12" customWidth="1"/>
    <col min="10756" max="10756" width="11" style="12" bestFit="1" customWidth="1"/>
    <col min="10757" max="10757" width="3.85546875" style="12" customWidth="1"/>
    <col min="10758" max="10758" width="11.85546875" style="12" bestFit="1" customWidth="1"/>
    <col min="10759" max="10759" width="6.28515625" style="12" bestFit="1" customWidth="1"/>
    <col min="10760" max="10997" width="9.140625" style="12"/>
    <col min="10998" max="10998" width="34.28515625" style="12" customWidth="1"/>
    <col min="10999" max="11006" width="10" style="12" bestFit="1" customWidth="1"/>
    <col min="11007" max="11007" width="10" style="12" customWidth="1"/>
    <col min="11008" max="11010" width="0" style="12" hidden="1" customWidth="1"/>
    <col min="11011" max="11011" width="2.140625" style="12" customWidth="1"/>
    <col min="11012" max="11012" width="11" style="12" bestFit="1" customWidth="1"/>
    <col min="11013" max="11013" width="3.85546875" style="12" customWidth="1"/>
    <col min="11014" max="11014" width="11.85546875" style="12" bestFit="1" customWidth="1"/>
    <col min="11015" max="11015" width="6.28515625" style="12" bestFit="1" customWidth="1"/>
    <col min="11016" max="11253" width="9.140625" style="12"/>
    <col min="11254" max="11254" width="34.28515625" style="12" customWidth="1"/>
    <col min="11255" max="11262" width="10" style="12" bestFit="1" customWidth="1"/>
    <col min="11263" max="11263" width="10" style="12" customWidth="1"/>
    <col min="11264" max="11266" width="0" style="12" hidden="1" customWidth="1"/>
    <col min="11267" max="11267" width="2.140625" style="12" customWidth="1"/>
    <col min="11268" max="11268" width="11" style="12" bestFit="1" customWidth="1"/>
    <col min="11269" max="11269" width="3.85546875" style="12" customWidth="1"/>
    <col min="11270" max="11270" width="11.85546875" style="12" bestFit="1" customWidth="1"/>
    <col min="11271" max="11271" width="6.28515625" style="12" bestFit="1" customWidth="1"/>
    <col min="11272" max="11509" width="9.140625" style="12"/>
    <col min="11510" max="11510" width="34.28515625" style="12" customWidth="1"/>
    <col min="11511" max="11518" width="10" style="12" bestFit="1" customWidth="1"/>
    <col min="11519" max="11519" width="10" style="12" customWidth="1"/>
    <col min="11520" max="11522" width="0" style="12" hidden="1" customWidth="1"/>
    <col min="11523" max="11523" width="2.140625" style="12" customWidth="1"/>
    <col min="11524" max="11524" width="11" style="12" bestFit="1" customWidth="1"/>
    <col min="11525" max="11525" width="3.85546875" style="12" customWidth="1"/>
    <col min="11526" max="11526" width="11.85546875" style="12" bestFit="1" customWidth="1"/>
    <col min="11527" max="11527" width="6.28515625" style="12" bestFit="1" customWidth="1"/>
    <col min="11528" max="11765" width="9.140625" style="12"/>
    <col min="11766" max="11766" width="34.28515625" style="12" customWidth="1"/>
    <col min="11767" max="11774" width="10" style="12" bestFit="1" customWidth="1"/>
    <col min="11775" max="11775" width="10" style="12" customWidth="1"/>
    <col min="11776" max="11778" width="0" style="12" hidden="1" customWidth="1"/>
    <col min="11779" max="11779" width="2.140625" style="12" customWidth="1"/>
    <col min="11780" max="11780" width="11" style="12" bestFit="1" customWidth="1"/>
    <col min="11781" max="11781" width="3.85546875" style="12" customWidth="1"/>
    <col min="11782" max="11782" width="11.85546875" style="12" bestFit="1" customWidth="1"/>
    <col min="11783" max="11783" width="6.28515625" style="12" bestFit="1" customWidth="1"/>
    <col min="11784" max="12021" width="9.140625" style="12"/>
    <col min="12022" max="12022" width="34.28515625" style="12" customWidth="1"/>
    <col min="12023" max="12030" width="10" style="12" bestFit="1" customWidth="1"/>
    <col min="12031" max="12031" width="10" style="12" customWidth="1"/>
    <col min="12032" max="12034" width="0" style="12" hidden="1" customWidth="1"/>
    <col min="12035" max="12035" width="2.140625" style="12" customWidth="1"/>
    <col min="12036" max="12036" width="11" style="12" bestFit="1" customWidth="1"/>
    <col min="12037" max="12037" width="3.85546875" style="12" customWidth="1"/>
    <col min="12038" max="12038" width="11.85546875" style="12" bestFit="1" customWidth="1"/>
    <col min="12039" max="12039" width="6.28515625" style="12" bestFit="1" customWidth="1"/>
    <col min="12040" max="12277" width="9.140625" style="12"/>
    <col min="12278" max="12278" width="34.28515625" style="12" customWidth="1"/>
    <col min="12279" max="12286" width="10" style="12" bestFit="1" customWidth="1"/>
    <col min="12287" max="12287" width="10" style="12" customWidth="1"/>
    <col min="12288" max="12290" width="0" style="12" hidden="1" customWidth="1"/>
    <col min="12291" max="12291" width="2.140625" style="12" customWidth="1"/>
    <col min="12292" max="12292" width="11" style="12" bestFit="1" customWidth="1"/>
    <col min="12293" max="12293" width="3.85546875" style="12" customWidth="1"/>
    <col min="12294" max="12294" width="11.85546875" style="12" bestFit="1" customWidth="1"/>
    <col min="12295" max="12295" width="6.28515625" style="12" bestFit="1" customWidth="1"/>
    <col min="12296" max="12533" width="9.140625" style="12"/>
    <col min="12534" max="12534" width="34.28515625" style="12" customWidth="1"/>
    <col min="12535" max="12542" width="10" style="12" bestFit="1" customWidth="1"/>
    <col min="12543" max="12543" width="10" style="12" customWidth="1"/>
    <col min="12544" max="12546" width="0" style="12" hidden="1" customWidth="1"/>
    <col min="12547" max="12547" width="2.140625" style="12" customWidth="1"/>
    <col min="12548" max="12548" width="11" style="12" bestFit="1" customWidth="1"/>
    <col min="12549" max="12549" width="3.85546875" style="12" customWidth="1"/>
    <col min="12550" max="12550" width="11.85546875" style="12" bestFit="1" customWidth="1"/>
    <col min="12551" max="12551" width="6.28515625" style="12" bestFit="1" customWidth="1"/>
    <col min="12552" max="12789" width="9.140625" style="12"/>
    <col min="12790" max="12790" width="34.28515625" style="12" customWidth="1"/>
    <col min="12791" max="12798" width="10" style="12" bestFit="1" customWidth="1"/>
    <col min="12799" max="12799" width="10" style="12" customWidth="1"/>
    <col min="12800" max="12802" width="0" style="12" hidden="1" customWidth="1"/>
    <col min="12803" max="12803" width="2.140625" style="12" customWidth="1"/>
    <col min="12804" max="12804" width="11" style="12" bestFit="1" customWidth="1"/>
    <col min="12805" max="12805" width="3.85546875" style="12" customWidth="1"/>
    <col min="12806" max="12806" width="11.85546875" style="12" bestFit="1" customWidth="1"/>
    <col min="12807" max="12807" width="6.28515625" style="12" bestFit="1" customWidth="1"/>
    <col min="12808" max="13045" width="9.140625" style="12"/>
    <col min="13046" max="13046" width="34.28515625" style="12" customWidth="1"/>
    <col min="13047" max="13054" width="10" style="12" bestFit="1" customWidth="1"/>
    <col min="13055" max="13055" width="10" style="12" customWidth="1"/>
    <col min="13056" max="13058" width="0" style="12" hidden="1" customWidth="1"/>
    <col min="13059" max="13059" width="2.140625" style="12" customWidth="1"/>
    <col min="13060" max="13060" width="11" style="12" bestFit="1" customWidth="1"/>
    <col min="13061" max="13061" width="3.85546875" style="12" customWidth="1"/>
    <col min="13062" max="13062" width="11.85546875" style="12" bestFit="1" customWidth="1"/>
    <col min="13063" max="13063" width="6.28515625" style="12" bestFit="1" customWidth="1"/>
    <col min="13064" max="13301" width="9.140625" style="12"/>
    <col min="13302" max="13302" width="34.28515625" style="12" customWidth="1"/>
    <col min="13303" max="13310" width="10" style="12" bestFit="1" customWidth="1"/>
    <col min="13311" max="13311" width="10" style="12" customWidth="1"/>
    <col min="13312" max="13314" width="0" style="12" hidden="1" customWidth="1"/>
    <col min="13315" max="13315" width="2.140625" style="12" customWidth="1"/>
    <col min="13316" max="13316" width="11" style="12" bestFit="1" customWidth="1"/>
    <col min="13317" max="13317" width="3.85546875" style="12" customWidth="1"/>
    <col min="13318" max="13318" width="11.85546875" style="12" bestFit="1" customWidth="1"/>
    <col min="13319" max="13319" width="6.28515625" style="12" bestFit="1" customWidth="1"/>
    <col min="13320" max="13557" width="9.140625" style="12"/>
    <col min="13558" max="13558" width="34.28515625" style="12" customWidth="1"/>
    <col min="13559" max="13566" width="10" style="12" bestFit="1" customWidth="1"/>
    <col min="13567" max="13567" width="10" style="12" customWidth="1"/>
    <col min="13568" max="13570" width="0" style="12" hidden="1" customWidth="1"/>
    <col min="13571" max="13571" width="2.140625" style="12" customWidth="1"/>
    <col min="13572" max="13572" width="11" style="12" bestFit="1" customWidth="1"/>
    <col min="13573" max="13573" width="3.85546875" style="12" customWidth="1"/>
    <col min="13574" max="13574" width="11.85546875" style="12" bestFit="1" customWidth="1"/>
    <col min="13575" max="13575" width="6.28515625" style="12" bestFit="1" customWidth="1"/>
    <col min="13576" max="13813" width="9.140625" style="12"/>
    <col min="13814" max="13814" width="34.28515625" style="12" customWidth="1"/>
    <col min="13815" max="13822" width="10" style="12" bestFit="1" customWidth="1"/>
    <col min="13823" max="13823" width="10" style="12" customWidth="1"/>
    <col min="13824" max="13826" width="0" style="12" hidden="1" customWidth="1"/>
    <col min="13827" max="13827" width="2.140625" style="12" customWidth="1"/>
    <col min="13828" max="13828" width="11" style="12" bestFit="1" customWidth="1"/>
    <col min="13829" max="13829" width="3.85546875" style="12" customWidth="1"/>
    <col min="13830" max="13830" width="11.85546875" style="12" bestFit="1" customWidth="1"/>
    <col min="13831" max="13831" width="6.28515625" style="12" bestFit="1" customWidth="1"/>
    <col min="13832" max="14069" width="9.140625" style="12"/>
    <col min="14070" max="14070" width="34.28515625" style="12" customWidth="1"/>
    <col min="14071" max="14078" width="10" style="12" bestFit="1" customWidth="1"/>
    <col min="14079" max="14079" width="10" style="12" customWidth="1"/>
    <col min="14080" max="14082" width="0" style="12" hidden="1" customWidth="1"/>
    <col min="14083" max="14083" width="2.140625" style="12" customWidth="1"/>
    <col min="14084" max="14084" width="11" style="12" bestFit="1" customWidth="1"/>
    <col min="14085" max="14085" width="3.85546875" style="12" customWidth="1"/>
    <col min="14086" max="14086" width="11.85546875" style="12" bestFit="1" customWidth="1"/>
    <col min="14087" max="14087" width="6.28515625" style="12" bestFit="1" customWidth="1"/>
    <col min="14088" max="14325" width="9.140625" style="12"/>
    <col min="14326" max="14326" width="34.28515625" style="12" customWidth="1"/>
    <col min="14327" max="14334" width="10" style="12" bestFit="1" customWidth="1"/>
    <col min="14335" max="14335" width="10" style="12" customWidth="1"/>
    <col min="14336" max="14338" width="0" style="12" hidden="1" customWidth="1"/>
    <col min="14339" max="14339" width="2.140625" style="12" customWidth="1"/>
    <col min="14340" max="14340" width="11" style="12" bestFit="1" customWidth="1"/>
    <col min="14341" max="14341" width="3.85546875" style="12" customWidth="1"/>
    <col min="14342" max="14342" width="11.85546875" style="12" bestFit="1" customWidth="1"/>
    <col min="14343" max="14343" width="6.28515625" style="12" bestFit="1" customWidth="1"/>
    <col min="14344" max="14581" width="9.140625" style="12"/>
    <col min="14582" max="14582" width="34.28515625" style="12" customWidth="1"/>
    <col min="14583" max="14590" width="10" style="12" bestFit="1" customWidth="1"/>
    <col min="14591" max="14591" width="10" style="12" customWidth="1"/>
    <col min="14592" max="14594" width="0" style="12" hidden="1" customWidth="1"/>
    <col min="14595" max="14595" width="2.140625" style="12" customWidth="1"/>
    <col min="14596" max="14596" width="11" style="12" bestFit="1" customWidth="1"/>
    <col min="14597" max="14597" width="3.85546875" style="12" customWidth="1"/>
    <col min="14598" max="14598" width="11.85546875" style="12" bestFit="1" customWidth="1"/>
    <col min="14599" max="14599" width="6.28515625" style="12" bestFit="1" customWidth="1"/>
    <col min="14600" max="14837" width="9.140625" style="12"/>
    <col min="14838" max="14838" width="34.28515625" style="12" customWidth="1"/>
    <col min="14839" max="14846" width="10" style="12" bestFit="1" customWidth="1"/>
    <col min="14847" max="14847" width="10" style="12" customWidth="1"/>
    <col min="14848" max="14850" width="0" style="12" hidden="1" customWidth="1"/>
    <col min="14851" max="14851" width="2.140625" style="12" customWidth="1"/>
    <col min="14852" max="14852" width="11" style="12" bestFit="1" customWidth="1"/>
    <col min="14853" max="14853" width="3.85546875" style="12" customWidth="1"/>
    <col min="14854" max="14854" width="11.85546875" style="12" bestFit="1" customWidth="1"/>
    <col min="14855" max="14855" width="6.28515625" style="12" bestFit="1" customWidth="1"/>
    <col min="14856" max="15093" width="9.140625" style="12"/>
    <col min="15094" max="15094" width="34.28515625" style="12" customWidth="1"/>
    <col min="15095" max="15102" width="10" style="12" bestFit="1" customWidth="1"/>
    <col min="15103" max="15103" width="10" style="12" customWidth="1"/>
    <col min="15104" max="15106" width="0" style="12" hidden="1" customWidth="1"/>
    <col min="15107" max="15107" width="2.140625" style="12" customWidth="1"/>
    <col min="15108" max="15108" width="11" style="12" bestFit="1" customWidth="1"/>
    <col min="15109" max="15109" width="3.85546875" style="12" customWidth="1"/>
    <col min="15110" max="15110" width="11.85546875" style="12" bestFit="1" customWidth="1"/>
    <col min="15111" max="15111" width="6.28515625" style="12" bestFit="1" customWidth="1"/>
    <col min="15112" max="15349" width="9.140625" style="12"/>
    <col min="15350" max="15350" width="34.28515625" style="12" customWidth="1"/>
    <col min="15351" max="15358" width="10" style="12" bestFit="1" customWidth="1"/>
    <col min="15359" max="15359" width="10" style="12" customWidth="1"/>
    <col min="15360" max="15362" width="0" style="12" hidden="1" customWidth="1"/>
    <col min="15363" max="15363" width="2.140625" style="12" customWidth="1"/>
    <col min="15364" max="15364" width="11" style="12" bestFit="1" customWidth="1"/>
    <col min="15365" max="15365" width="3.85546875" style="12" customWidth="1"/>
    <col min="15366" max="15366" width="11.85546875" style="12" bestFit="1" customWidth="1"/>
    <col min="15367" max="15367" width="6.28515625" style="12" bestFit="1" customWidth="1"/>
    <col min="15368" max="15605" width="9.140625" style="12"/>
    <col min="15606" max="15606" width="34.28515625" style="12" customWidth="1"/>
    <col min="15607" max="15614" width="10" style="12" bestFit="1" customWidth="1"/>
    <col min="15615" max="15615" width="10" style="12" customWidth="1"/>
    <col min="15616" max="15618" width="0" style="12" hidden="1" customWidth="1"/>
    <col min="15619" max="15619" width="2.140625" style="12" customWidth="1"/>
    <col min="15620" max="15620" width="11" style="12" bestFit="1" customWidth="1"/>
    <col min="15621" max="15621" width="3.85546875" style="12" customWidth="1"/>
    <col min="15622" max="15622" width="11.85546875" style="12" bestFit="1" customWidth="1"/>
    <col min="15623" max="15623" width="6.28515625" style="12" bestFit="1" customWidth="1"/>
    <col min="15624" max="15861" width="9.140625" style="12"/>
    <col min="15862" max="15862" width="34.28515625" style="12" customWidth="1"/>
    <col min="15863" max="15870" width="10" style="12" bestFit="1" customWidth="1"/>
    <col min="15871" max="15871" width="10" style="12" customWidth="1"/>
    <col min="15872" max="15874" width="0" style="12" hidden="1" customWidth="1"/>
    <col min="15875" max="15875" width="2.140625" style="12" customWidth="1"/>
    <col min="15876" max="15876" width="11" style="12" bestFit="1" customWidth="1"/>
    <col min="15877" max="15877" width="3.85546875" style="12" customWidth="1"/>
    <col min="15878" max="15878" width="11.85546875" style="12" bestFit="1" customWidth="1"/>
    <col min="15879" max="15879" width="6.28515625" style="12" bestFit="1" customWidth="1"/>
    <col min="15880" max="16117" width="9.140625" style="12"/>
    <col min="16118" max="16118" width="34.28515625" style="12" customWidth="1"/>
    <col min="16119" max="16126" width="10" style="12" bestFit="1" customWidth="1"/>
    <col min="16127" max="16127" width="10" style="12" customWidth="1"/>
    <col min="16128" max="16130" width="0" style="12" hidden="1" customWidth="1"/>
    <col min="16131" max="16131" width="2.140625" style="12" customWidth="1"/>
    <col min="16132" max="16132" width="11" style="12" bestFit="1" customWidth="1"/>
    <col min="16133" max="16133" width="3.85546875" style="12" customWidth="1"/>
    <col min="16134" max="16134" width="11.85546875" style="12" bestFit="1" customWidth="1"/>
    <col min="16135" max="16135" width="6.28515625" style="12" bestFit="1" customWidth="1"/>
    <col min="16136" max="16384" width="9.140625" style="12"/>
  </cols>
  <sheetData>
    <row r="1" spans="1:10" ht="27" customHeight="1" x14ac:dyDescent="0.2">
      <c r="A1" s="72" t="s">
        <v>349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5" customHeight="1" x14ac:dyDescent="0.35">
      <c r="B2" s="46"/>
      <c r="C2" s="46"/>
      <c r="D2" s="46"/>
    </row>
    <row r="3" spans="1:10" x14ac:dyDescent="0.2">
      <c r="B3" s="51"/>
      <c r="C3" s="51"/>
      <c r="D3" s="51"/>
      <c r="E3" s="51"/>
      <c r="F3" s="136" t="s">
        <v>319</v>
      </c>
      <c r="G3" s="137"/>
    </row>
    <row r="4" spans="1:10" s="5" customFormat="1" x14ac:dyDescent="0.2">
      <c r="A4" s="42" t="s">
        <v>330</v>
      </c>
      <c r="B4" s="53" t="s">
        <v>230</v>
      </c>
      <c r="C4" s="53" t="s">
        <v>307</v>
      </c>
      <c r="D4" s="53" t="s">
        <v>346</v>
      </c>
      <c r="E4" s="54"/>
      <c r="F4" s="55" t="s">
        <v>344</v>
      </c>
      <c r="G4" s="55" t="s">
        <v>345</v>
      </c>
    </row>
    <row r="5" spans="1:10" s="5" customFormat="1" hidden="1" x14ac:dyDescent="0.2">
      <c r="A5" s="6"/>
      <c r="B5" s="7"/>
      <c r="C5" s="7"/>
      <c r="D5" s="7" t="e">
        <f>#REF!</f>
        <v>#REF!</v>
      </c>
      <c r="E5" s="4"/>
      <c r="F5" s="7"/>
      <c r="G5" s="7"/>
    </row>
    <row r="6" spans="1:10" s="5" customFormat="1" ht="16.5" customHeight="1" x14ac:dyDescent="0.2">
      <c r="A6" s="8" t="s">
        <v>152</v>
      </c>
      <c r="B6" s="4"/>
      <c r="C6" s="4"/>
      <c r="D6" s="4"/>
      <c r="E6" s="4"/>
      <c r="F6" s="4"/>
      <c r="G6" s="4"/>
    </row>
    <row r="7" spans="1:10" x14ac:dyDescent="0.2">
      <c r="A7" s="9" t="s">
        <v>153</v>
      </c>
      <c r="B7" s="10">
        <v>88268.560000000012</v>
      </c>
      <c r="C7" s="10">
        <v>58511.929999999986</v>
      </c>
      <c r="D7" s="10" t="e">
        <f>VLOOKUP(A7,#REF!,15,0)</f>
        <v>#REF!</v>
      </c>
      <c r="F7" s="10">
        <f>C7-B7</f>
        <v>-29756.630000000026</v>
      </c>
      <c r="G7" s="10" t="e">
        <f>D7-C7</f>
        <v>#REF!</v>
      </c>
    </row>
    <row r="8" spans="1:10" x14ac:dyDescent="0.2">
      <c r="A8" s="13" t="s">
        <v>154</v>
      </c>
      <c r="B8" s="10">
        <v>6167.32</v>
      </c>
      <c r="C8" s="10">
        <v>0</v>
      </c>
      <c r="D8" s="10" t="e">
        <f>VLOOKUP(A8,#REF!,15,0)</f>
        <v>#REF!</v>
      </c>
      <c r="F8" s="10">
        <f t="shared" ref="F8:F14" si="0">C8-B8</f>
        <v>-6167.32</v>
      </c>
      <c r="G8" s="10" t="e">
        <f t="shared" ref="G8:G14" si="1">D8-C8</f>
        <v>#REF!</v>
      </c>
    </row>
    <row r="9" spans="1:10" x14ac:dyDescent="0.2">
      <c r="A9" s="13" t="s">
        <v>155</v>
      </c>
      <c r="B9" s="10">
        <v>5170.9799999999996</v>
      </c>
      <c r="C9" s="10">
        <v>6521.48</v>
      </c>
      <c r="D9" s="10" t="e">
        <f>VLOOKUP(A9,#REF!,15,0)</f>
        <v>#REF!</v>
      </c>
      <c r="F9" s="10">
        <f t="shared" si="0"/>
        <v>1350.5</v>
      </c>
      <c r="G9" s="10" t="e">
        <f t="shared" si="1"/>
        <v>#REF!</v>
      </c>
    </row>
    <row r="10" spans="1:10" x14ac:dyDescent="0.2">
      <c r="A10" s="13" t="s">
        <v>156</v>
      </c>
      <c r="B10" s="10">
        <v>12323.479999999998</v>
      </c>
      <c r="C10" s="10">
        <v>1400.3299999999995</v>
      </c>
      <c r="D10" s="10" t="e">
        <f>VLOOKUP(A10,#REF!,15,0)</f>
        <v>#REF!</v>
      </c>
      <c r="F10" s="10">
        <f t="shared" si="0"/>
        <v>-10923.149999999998</v>
      </c>
      <c r="G10" s="10" t="e">
        <f t="shared" si="1"/>
        <v>#REF!</v>
      </c>
    </row>
    <row r="11" spans="1:10" x14ac:dyDescent="0.2">
      <c r="A11" s="13" t="s">
        <v>157</v>
      </c>
      <c r="B11" s="10">
        <v>7474.0300000000007</v>
      </c>
      <c r="C11" s="10">
        <v>4391.67</v>
      </c>
      <c r="D11" s="10" t="e">
        <f>VLOOKUP(A11,#REF!,15,0)</f>
        <v>#REF!</v>
      </c>
      <c r="F11" s="10">
        <f t="shared" si="0"/>
        <v>-3082.3600000000006</v>
      </c>
      <c r="G11" s="10" t="e">
        <f t="shared" si="1"/>
        <v>#REF!</v>
      </c>
    </row>
    <row r="12" spans="1:10" x14ac:dyDescent="0.2">
      <c r="A12" s="13" t="s">
        <v>158</v>
      </c>
      <c r="B12" s="10">
        <v>1257.3</v>
      </c>
      <c r="C12" s="10">
        <v>0</v>
      </c>
      <c r="D12" s="10" t="e">
        <f>VLOOKUP(A12,#REF!,15,0)</f>
        <v>#REF!</v>
      </c>
      <c r="F12" s="10">
        <f t="shared" si="0"/>
        <v>-1257.3</v>
      </c>
      <c r="G12" s="10" t="e">
        <f t="shared" si="1"/>
        <v>#REF!</v>
      </c>
    </row>
    <row r="13" spans="1:10" x14ac:dyDescent="0.2">
      <c r="A13" s="13" t="s">
        <v>159</v>
      </c>
      <c r="B13" s="10">
        <v>1200</v>
      </c>
      <c r="C13" s="10">
        <v>16177</v>
      </c>
      <c r="D13" s="10" t="e">
        <f>VLOOKUP(A13,#REF!,15,0)</f>
        <v>#REF!</v>
      </c>
      <c r="F13" s="10">
        <f t="shared" si="0"/>
        <v>14977</v>
      </c>
      <c r="G13" s="10" t="e">
        <f t="shared" si="1"/>
        <v>#REF!</v>
      </c>
    </row>
    <row r="14" spans="1:10" x14ac:dyDescent="0.2">
      <c r="A14" s="13" t="s">
        <v>315</v>
      </c>
      <c r="B14" s="10">
        <v>0</v>
      </c>
      <c r="C14" s="10">
        <v>33339.709999999992</v>
      </c>
      <c r="D14" s="10" t="e">
        <f>VLOOKUP(A14,#REF!,15,0)</f>
        <v>#REF!</v>
      </c>
      <c r="F14" s="10">
        <f t="shared" si="0"/>
        <v>33339.709999999992</v>
      </c>
      <c r="G14" s="10" t="e">
        <f t="shared" si="1"/>
        <v>#REF!</v>
      </c>
    </row>
    <row r="15" spans="1:10" s="5" customFormat="1" x14ac:dyDescent="0.2">
      <c r="A15" s="15" t="s">
        <v>269</v>
      </c>
      <c r="B15" s="16">
        <f>SUM(B7:B14)</f>
        <v>121861.67</v>
      </c>
      <c r="C15" s="16">
        <f>SUM(C7:C14)</f>
        <v>120342.11999999998</v>
      </c>
      <c r="D15" s="16" t="e">
        <f>SUM(D7:D14)</f>
        <v>#REF!</v>
      </c>
      <c r="F15" s="16">
        <f t="shared" ref="F15:G15" si="2">SUM(F7:F14)</f>
        <v>-1519.550000000032</v>
      </c>
      <c r="G15" s="16" t="e">
        <f t="shared" si="2"/>
        <v>#REF!</v>
      </c>
    </row>
    <row r="16" spans="1:10" s="5" customFormat="1" x14ac:dyDescent="0.2">
      <c r="A16" s="27"/>
      <c r="B16" s="17"/>
      <c r="C16" s="17"/>
      <c r="D16" s="17"/>
      <c r="F16" s="62">
        <f>IFERROR(C15/B15-1,"")</f>
        <v>-1.2469466403997376E-2</v>
      </c>
      <c r="G16" s="62" t="str">
        <f>IFERROR(D15/C15-1,"")</f>
        <v/>
      </c>
    </row>
    <row r="17" spans="1:8" s="5" customFormat="1" x14ac:dyDescent="0.2">
      <c r="A17" s="8" t="s">
        <v>268</v>
      </c>
      <c r="B17" s="4"/>
      <c r="C17" s="4"/>
      <c r="D17" s="4"/>
      <c r="F17" s="4"/>
      <c r="G17" s="4"/>
      <c r="H17" s="12"/>
    </row>
    <row r="18" spans="1:8" x14ac:dyDescent="0.2">
      <c r="A18" s="9" t="s">
        <v>284</v>
      </c>
      <c r="B18" s="10">
        <v>7659.5499999999993</v>
      </c>
      <c r="C18" s="10">
        <v>0</v>
      </c>
      <c r="D18" s="10" t="e">
        <f>VLOOKUP(A18,#REF!,15,0)</f>
        <v>#REF!</v>
      </c>
      <c r="F18" s="10">
        <f t="shared" ref="F18:F23" si="3">C18-B18</f>
        <v>-7659.5499999999993</v>
      </c>
      <c r="G18" s="10" t="e">
        <f t="shared" ref="G18:G23" si="4">D18-C18</f>
        <v>#REF!</v>
      </c>
    </row>
    <row r="19" spans="1:8" x14ac:dyDescent="0.2">
      <c r="A19" s="13" t="s">
        <v>342</v>
      </c>
      <c r="B19" s="10">
        <v>3236.98</v>
      </c>
      <c r="C19" s="10">
        <v>0</v>
      </c>
      <c r="D19" s="10" t="e">
        <f>VLOOKUP(A19,#REF!,15,0)</f>
        <v>#REF!</v>
      </c>
      <c r="F19" s="10">
        <f t="shared" si="3"/>
        <v>-3236.98</v>
      </c>
      <c r="G19" s="10" t="e">
        <f t="shared" si="4"/>
        <v>#REF!</v>
      </c>
    </row>
    <row r="20" spans="1:8" hidden="1" x14ac:dyDescent="0.2">
      <c r="A20" s="13" t="s">
        <v>161</v>
      </c>
      <c r="B20" s="10">
        <v>0</v>
      </c>
      <c r="C20" s="10">
        <v>0</v>
      </c>
      <c r="D20" s="10" t="e">
        <f>VLOOKUP(A20,#REF!,15,0)</f>
        <v>#REF!</v>
      </c>
      <c r="F20" s="10">
        <f t="shared" si="3"/>
        <v>0</v>
      </c>
      <c r="G20" s="10" t="e">
        <f t="shared" si="4"/>
        <v>#REF!</v>
      </c>
    </row>
    <row r="21" spans="1:8" x14ac:dyDescent="0.2">
      <c r="A21" s="13" t="s">
        <v>162</v>
      </c>
      <c r="B21" s="10">
        <v>50400</v>
      </c>
      <c r="C21" s="10">
        <v>40500</v>
      </c>
      <c r="D21" s="10" t="e">
        <f>VLOOKUP(A21,#REF!,15,0)</f>
        <v>#REF!</v>
      </c>
      <c r="F21" s="10">
        <f t="shared" si="3"/>
        <v>-9900</v>
      </c>
      <c r="G21" s="10" t="e">
        <f t="shared" si="4"/>
        <v>#REF!</v>
      </c>
    </row>
    <row r="22" spans="1:8" x14ac:dyDescent="0.2">
      <c r="A22" s="13" t="s">
        <v>163</v>
      </c>
      <c r="B22" s="10">
        <v>1450.1100000000001</v>
      </c>
      <c r="C22" s="10">
        <v>100</v>
      </c>
      <c r="D22" s="10" t="e">
        <f>VLOOKUP(A22,#REF!,15,0)</f>
        <v>#REF!</v>
      </c>
      <c r="F22" s="10">
        <f t="shared" si="3"/>
        <v>-1350.1100000000001</v>
      </c>
      <c r="G22" s="10" t="e">
        <f t="shared" si="4"/>
        <v>#REF!</v>
      </c>
    </row>
    <row r="23" spans="1:8" x14ac:dyDescent="0.2">
      <c r="A23" s="13" t="s">
        <v>164</v>
      </c>
      <c r="B23" s="10">
        <v>600</v>
      </c>
      <c r="C23" s="10">
        <v>0</v>
      </c>
      <c r="D23" s="10" t="e">
        <f>VLOOKUP(A23,#REF!,15,0)</f>
        <v>#REF!</v>
      </c>
      <c r="F23" s="10">
        <f t="shared" si="3"/>
        <v>-600</v>
      </c>
      <c r="G23" s="10" t="e">
        <f t="shared" si="4"/>
        <v>#REF!</v>
      </c>
    </row>
    <row r="24" spans="1:8" x14ac:dyDescent="0.2">
      <c r="A24" s="15" t="s">
        <v>270</v>
      </c>
      <c r="B24" s="16">
        <f>SUM(B18:B23)</f>
        <v>63346.64</v>
      </c>
      <c r="C24" s="16">
        <f>SUM(C18:C23)</f>
        <v>40600</v>
      </c>
      <c r="D24" s="16" t="e">
        <f>SUM(D18:D23)</f>
        <v>#REF!</v>
      </c>
      <c r="F24" s="16">
        <f t="shared" ref="F24:G24" si="5">SUM(F18:F23)</f>
        <v>-22746.639999999999</v>
      </c>
      <c r="G24" s="16" t="e">
        <f t="shared" si="5"/>
        <v>#REF!</v>
      </c>
    </row>
    <row r="25" spans="1:8" x14ac:dyDescent="0.2">
      <c r="F25" s="62">
        <f>IFERROR(C24/B24-1,"")</f>
        <v>-0.35908202866008365</v>
      </c>
      <c r="G25" s="62" t="str">
        <f>IFERROR(D24/C24-1,"")</f>
        <v/>
      </c>
    </row>
  </sheetData>
  <mergeCells count="1">
    <mergeCell ref="F3:G3"/>
  </mergeCells>
  <printOptions horizontalCentered="1"/>
  <pageMargins left="0.51181102362204722" right="0.51181102362204722" top="1.3779527559055118" bottom="0.78740157480314965" header="0.78740157480314965" footer="0.31496062992125984"/>
  <pageSetup paperSize="9" scale="110" orientation="landscape" horizontalDpi="1200" verticalDpi="1200" r:id="rId1"/>
  <headerFooter>
    <oddHeader>&amp;C&amp;"-,Negrito"&amp;28ASSOCIAÇÃO DAS IGREJAS DA OBRA REGIONAL - REGIÃO 06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39997558519241921"/>
  </sheetPr>
  <dimension ref="A1:G28"/>
  <sheetViews>
    <sheetView showGridLines="0" workbookViewId="0">
      <selection activeCell="H26" sqref="H26"/>
    </sheetView>
  </sheetViews>
  <sheetFormatPr defaultRowHeight="12.75" x14ac:dyDescent="0.2"/>
  <cols>
    <col min="1" max="1" width="32" style="12" customWidth="1"/>
    <col min="2" max="2" width="9.28515625" style="12" customWidth="1"/>
    <col min="3" max="3" width="8.85546875" style="12" customWidth="1"/>
    <col min="4" max="4" width="9.140625" style="12" customWidth="1"/>
    <col min="5" max="5" width="2.140625" style="12" customWidth="1"/>
    <col min="6" max="6" width="8.42578125" style="12" customWidth="1"/>
    <col min="7" max="7" width="8.140625" style="58" customWidth="1"/>
    <col min="8" max="8" width="26.28515625" style="12" customWidth="1"/>
    <col min="9" max="245" width="9.140625" style="12"/>
    <col min="246" max="246" width="34.28515625" style="12" customWidth="1"/>
    <col min="247" max="254" width="10" style="12" bestFit="1" customWidth="1"/>
    <col min="255" max="255" width="10" style="12" customWidth="1"/>
    <col min="256" max="258" width="0" style="12" hidden="1" customWidth="1"/>
    <col min="259" max="259" width="2.140625" style="12" customWidth="1"/>
    <col min="260" max="260" width="11" style="12" bestFit="1" customWidth="1"/>
    <col min="261" max="261" width="3.85546875" style="12" customWidth="1"/>
    <col min="262" max="262" width="11.85546875" style="12" bestFit="1" customWidth="1"/>
    <col min="263" max="263" width="6.28515625" style="12" bestFit="1" customWidth="1"/>
    <col min="264" max="501" width="9.140625" style="12"/>
    <col min="502" max="502" width="34.28515625" style="12" customWidth="1"/>
    <col min="503" max="510" width="10" style="12" bestFit="1" customWidth="1"/>
    <col min="511" max="511" width="10" style="12" customWidth="1"/>
    <col min="512" max="514" width="0" style="12" hidden="1" customWidth="1"/>
    <col min="515" max="515" width="2.140625" style="12" customWidth="1"/>
    <col min="516" max="516" width="11" style="12" bestFit="1" customWidth="1"/>
    <col min="517" max="517" width="3.85546875" style="12" customWidth="1"/>
    <col min="518" max="518" width="11.85546875" style="12" bestFit="1" customWidth="1"/>
    <col min="519" max="519" width="6.28515625" style="12" bestFit="1" customWidth="1"/>
    <col min="520" max="757" width="9.140625" style="12"/>
    <col min="758" max="758" width="34.28515625" style="12" customWidth="1"/>
    <col min="759" max="766" width="10" style="12" bestFit="1" customWidth="1"/>
    <col min="767" max="767" width="10" style="12" customWidth="1"/>
    <col min="768" max="770" width="0" style="12" hidden="1" customWidth="1"/>
    <col min="771" max="771" width="2.140625" style="12" customWidth="1"/>
    <col min="772" max="772" width="11" style="12" bestFit="1" customWidth="1"/>
    <col min="773" max="773" width="3.85546875" style="12" customWidth="1"/>
    <col min="774" max="774" width="11.85546875" style="12" bestFit="1" customWidth="1"/>
    <col min="775" max="775" width="6.28515625" style="12" bestFit="1" customWidth="1"/>
    <col min="776" max="1013" width="9.140625" style="12"/>
    <col min="1014" max="1014" width="34.28515625" style="12" customWidth="1"/>
    <col min="1015" max="1022" width="10" style="12" bestFit="1" customWidth="1"/>
    <col min="1023" max="1023" width="10" style="12" customWidth="1"/>
    <col min="1024" max="1026" width="0" style="12" hidden="1" customWidth="1"/>
    <col min="1027" max="1027" width="2.140625" style="12" customWidth="1"/>
    <col min="1028" max="1028" width="11" style="12" bestFit="1" customWidth="1"/>
    <col min="1029" max="1029" width="3.85546875" style="12" customWidth="1"/>
    <col min="1030" max="1030" width="11.85546875" style="12" bestFit="1" customWidth="1"/>
    <col min="1031" max="1031" width="6.28515625" style="12" bestFit="1" customWidth="1"/>
    <col min="1032" max="1269" width="9.140625" style="12"/>
    <col min="1270" max="1270" width="34.28515625" style="12" customWidth="1"/>
    <col min="1271" max="1278" width="10" style="12" bestFit="1" customWidth="1"/>
    <col min="1279" max="1279" width="10" style="12" customWidth="1"/>
    <col min="1280" max="1282" width="0" style="12" hidden="1" customWidth="1"/>
    <col min="1283" max="1283" width="2.140625" style="12" customWidth="1"/>
    <col min="1284" max="1284" width="11" style="12" bestFit="1" customWidth="1"/>
    <col min="1285" max="1285" width="3.85546875" style="12" customWidth="1"/>
    <col min="1286" max="1286" width="11.85546875" style="12" bestFit="1" customWidth="1"/>
    <col min="1287" max="1287" width="6.28515625" style="12" bestFit="1" customWidth="1"/>
    <col min="1288" max="1525" width="9.140625" style="12"/>
    <col min="1526" max="1526" width="34.28515625" style="12" customWidth="1"/>
    <col min="1527" max="1534" width="10" style="12" bestFit="1" customWidth="1"/>
    <col min="1535" max="1535" width="10" style="12" customWidth="1"/>
    <col min="1536" max="1538" width="0" style="12" hidden="1" customWidth="1"/>
    <col min="1539" max="1539" width="2.140625" style="12" customWidth="1"/>
    <col min="1540" max="1540" width="11" style="12" bestFit="1" customWidth="1"/>
    <col min="1541" max="1541" width="3.85546875" style="12" customWidth="1"/>
    <col min="1542" max="1542" width="11.85546875" style="12" bestFit="1" customWidth="1"/>
    <col min="1543" max="1543" width="6.28515625" style="12" bestFit="1" customWidth="1"/>
    <col min="1544" max="1781" width="9.140625" style="12"/>
    <col min="1782" max="1782" width="34.28515625" style="12" customWidth="1"/>
    <col min="1783" max="1790" width="10" style="12" bestFit="1" customWidth="1"/>
    <col min="1791" max="1791" width="10" style="12" customWidth="1"/>
    <col min="1792" max="1794" width="0" style="12" hidden="1" customWidth="1"/>
    <col min="1795" max="1795" width="2.140625" style="12" customWidth="1"/>
    <col min="1796" max="1796" width="11" style="12" bestFit="1" customWidth="1"/>
    <col min="1797" max="1797" width="3.85546875" style="12" customWidth="1"/>
    <col min="1798" max="1798" width="11.85546875" style="12" bestFit="1" customWidth="1"/>
    <col min="1799" max="1799" width="6.28515625" style="12" bestFit="1" customWidth="1"/>
    <col min="1800" max="2037" width="9.140625" style="12"/>
    <col min="2038" max="2038" width="34.28515625" style="12" customWidth="1"/>
    <col min="2039" max="2046" width="10" style="12" bestFit="1" customWidth="1"/>
    <col min="2047" max="2047" width="10" style="12" customWidth="1"/>
    <col min="2048" max="2050" width="0" style="12" hidden="1" customWidth="1"/>
    <col min="2051" max="2051" width="2.140625" style="12" customWidth="1"/>
    <col min="2052" max="2052" width="11" style="12" bestFit="1" customWidth="1"/>
    <col min="2053" max="2053" width="3.85546875" style="12" customWidth="1"/>
    <col min="2054" max="2054" width="11.85546875" style="12" bestFit="1" customWidth="1"/>
    <col min="2055" max="2055" width="6.28515625" style="12" bestFit="1" customWidth="1"/>
    <col min="2056" max="2293" width="9.140625" style="12"/>
    <col min="2294" max="2294" width="34.28515625" style="12" customWidth="1"/>
    <col min="2295" max="2302" width="10" style="12" bestFit="1" customWidth="1"/>
    <col min="2303" max="2303" width="10" style="12" customWidth="1"/>
    <col min="2304" max="2306" width="0" style="12" hidden="1" customWidth="1"/>
    <col min="2307" max="2307" width="2.140625" style="12" customWidth="1"/>
    <col min="2308" max="2308" width="11" style="12" bestFit="1" customWidth="1"/>
    <col min="2309" max="2309" width="3.85546875" style="12" customWidth="1"/>
    <col min="2310" max="2310" width="11.85546875" style="12" bestFit="1" customWidth="1"/>
    <col min="2311" max="2311" width="6.28515625" style="12" bestFit="1" customWidth="1"/>
    <col min="2312" max="2549" width="9.140625" style="12"/>
    <col min="2550" max="2550" width="34.28515625" style="12" customWidth="1"/>
    <col min="2551" max="2558" width="10" style="12" bestFit="1" customWidth="1"/>
    <col min="2559" max="2559" width="10" style="12" customWidth="1"/>
    <col min="2560" max="2562" width="0" style="12" hidden="1" customWidth="1"/>
    <col min="2563" max="2563" width="2.140625" style="12" customWidth="1"/>
    <col min="2564" max="2564" width="11" style="12" bestFit="1" customWidth="1"/>
    <col min="2565" max="2565" width="3.85546875" style="12" customWidth="1"/>
    <col min="2566" max="2566" width="11.85546875" style="12" bestFit="1" customWidth="1"/>
    <col min="2567" max="2567" width="6.28515625" style="12" bestFit="1" customWidth="1"/>
    <col min="2568" max="2805" width="9.140625" style="12"/>
    <col min="2806" max="2806" width="34.28515625" style="12" customWidth="1"/>
    <col min="2807" max="2814" width="10" style="12" bestFit="1" customWidth="1"/>
    <col min="2815" max="2815" width="10" style="12" customWidth="1"/>
    <col min="2816" max="2818" width="0" style="12" hidden="1" customWidth="1"/>
    <col min="2819" max="2819" width="2.140625" style="12" customWidth="1"/>
    <col min="2820" max="2820" width="11" style="12" bestFit="1" customWidth="1"/>
    <col min="2821" max="2821" width="3.85546875" style="12" customWidth="1"/>
    <col min="2822" max="2822" width="11.85546875" style="12" bestFit="1" customWidth="1"/>
    <col min="2823" max="2823" width="6.28515625" style="12" bestFit="1" customWidth="1"/>
    <col min="2824" max="3061" width="9.140625" style="12"/>
    <col min="3062" max="3062" width="34.28515625" style="12" customWidth="1"/>
    <col min="3063" max="3070" width="10" style="12" bestFit="1" customWidth="1"/>
    <col min="3071" max="3071" width="10" style="12" customWidth="1"/>
    <col min="3072" max="3074" width="0" style="12" hidden="1" customWidth="1"/>
    <col min="3075" max="3075" width="2.140625" style="12" customWidth="1"/>
    <col min="3076" max="3076" width="11" style="12" bestFit="1" customWidth="1"/>
    <col min="3077" max="3077" width="3.85546875" style="12" customWidth="1"/>
    <col min="3078" max="3078" width="11.85546875" style="12" bestFit="1" customWidth="1"/>
    <col min="3079" max="3079" width="6.28515625" style="12" bestFit="1" customWidth="1"/>
    <col min="3080" max="3317" width="9.140625" style="12"/>
    <col min="3318" max="3318" width="34.28515625" style="12" customWidth="1"/>
    <col min="3319" max="3326" width="10" style="12" bestFit="1" customWidth="1"/>
    <col min="3327" max="3327" width="10" style="12" customWidth="1"/>
    <col min="3328" max="3330" width="0" style="12" hidden="1" customWidth="1"/>
    <col min="3331" max="3331" width="2.140625" style="12" customWidth="1"/>
    <col min="3332" max="3332" width="11" style="12" bestFit="1" customWidth="1"/>
    <col min="3333" max="3333" width="3.85546875" style="12" customWidth="1"/>
    <col min="3334" max="3334" width="11.85546875" style="12" bestFit="1" customWidth="1"/>
    <col min="3335" max="3335" width="6.28515625" style="12" bestFit="1" customWidth="1"/>
    <col min="3336" max="3573" width="9.140625" style="12"/>
    <col min="3574" max="3574" width="34.28515625" style="12" customWidth="1"/>
    <col min="3575" max="3582" width="10" style="12" bestFit="1" customWidth="1"/>
    <col min="3583" max="3583" width="10" style="12" customWidth="1"/>
    <col min="3584" max="3586" width="0" style="12" hidden="1" customWidth="1"/>
    <col min="3587" max="3587" width="2.140625" style="12" customWidth="1"/>
    <col min="3588" max="3588" width="11" style="12" bestFit="1" customWidth="1"/>
    <col min="3589" max="3589" width="3.85546875" style="12" customWidth="1"/>
    <col min="3590" max="3590" width="11.85546875" style="12" bestFit="1" customWidth="1"/>
    <col min="3591" max="3591" width="6.28515625" style="12" bestFit="1" customWidth="1"/>
    <col min="3592" max="3829" width="9.140625" style="12"/>
    <col min="3830" max="3830" width="34.28515625" style="12" customWidth="1"/>
    <col min="3831" max="3838" width="10" style="12" bestFit="1" customWidth="1"/>
    <col min="3839" max="3839" width="10" style="12" customWidth="1"/>
    <col min="3840" max="3842" width="0" style="12" hidden="1" customWidth="1"/>
    <col min="3843" max="3843" width="2.140625" style="12" customWidth="1"/>
    <col min="3844" max="3844" width="11" style="12" bestFit="1" customWidth="1"/>
    <col min="3845" max="3845" width="3.85546875" style="12" customWidth="1"/>
    <col min="3846" max="3846" width="11.85546875" style="12" bestFit="1" customWidth="1"/>
    <col min="3847" max="3847" width="6.28515625" style="12" bestFit="1" customWidth="1"/>
    <col min="3848" max="4085" width="9.140625" style="12"/>
    <col min="4086" max="4086" width="34.28515625" style="12" customWidth="1"/>
    <col min="4087" max="4094" width="10" style="12" bestFit="1" customWidth="1"/>
    <col min="4095" max="4095" width="10" style="12" customWidth="1"/>
    <col min="4096" max="4098" width="0" style="12" hidden="1" customWidth="1"/>
    <col min="4099" max="4099" width="2.140625" style="12" customWidth="1"/>
    <col min="4100" max="4100" width="11" style="12" bestFit="1" customWidth="1"/>
    <col min="4101" max="4101" width="3.85546875" style="12" customWidth="1"/>
    <col min="4102" max="4102" width="11.85546875" style="12" bestFit="1" customWidth="1"/>
    <col min="4103" max="4103" width="6.28515625" style="12" bestFit="1" customWidth="1"/>
    <col min="4104" max="4341" width="9.140625" style="12"/>
    <col min="4342" max="4342" width="34.28515625" style="12" customWidth="1"/>
    <col min="4343" max="4350" width="10" style="12" bestFit="1" customWidth="1"/>
    <col min="4351" max="4351" width="10" style="12" customWidth="1"/>
    <col min="4352" max="4354" width="0" style="12" hidden="1" customWidth="1"/>
    <col min="4355" max="4355" width="2.140625" style="12" customWidth="1"/>
    <col min="4356" max="4356" width="11" style="12" bestFit="1" customWidth="1"/>
    <col min="4357" max="4357" width="3.85546875" style="12" customWidth="1"/>
    <col min="4358" max="4358" width="11.85546875" style="12" bestFit="1" customWidth="1"/>
    <col min="4359" max="4359" width="6.28515625" style="12" bestFit="1" customWidth="1"/>
    <col min="4360" max="4597" width="9.140625" style="12"/>
    <col min="4598" max="4598" width="34.28515625" style="12" customWidth="1"/>
    <col min="4599" max="4606" width="10" style="12" bestFit="1" customWidth="1"/>
    <col min="4607" max="4607" width="10" style="12" customWidth="1"/>
    <col min="4608" max="4610" width="0" style="12" hidden="1" customWidth="1"/>
    <col min="4611" max="4611" width="2.140625" style="12" customWidth="1"/>
    <col min="4612" max="4612" width="11" style="12" bestFit="1" customWidth="1"/>
    <col min="4613" max="4613" width="3.85546875" style="12" customWidth="1"/>
    <col min="4614" max="4614" width="11.85546875" style="12" bestFit="1" customWidth="1"/>
    <col min="4615" max="4615" width="6.28515625" style="12" bestFit="1" customWidth="1"/>
    <col min="4616" max="4853" width="9.140625" style="12"/>
    <col min="4854" max="4854" width="34.28515625" style="12" customWidth="1"/>
    <col min="4855" max="4862" width="10" style="12" bestFit="1" customWidth="1"/>
    <col min="4863" max="4863" width="10" style="12" customWidth="1"/>
    <col min="4864" max="4866" width="0" style="12" hidden="1" customWidth="1"/>
    <col min="4867" max="4867" width="2.140625" style="12" customWidth="1"/>
    <col min="4868" max="4868" width="11" style="12" bestFit="1" customWidth="1"/>
    <col min="4869" max="4869" width="3.85546875" style="12" customWidth="1"/>
    <col min="4870" max="4870" width="11.85546875" style="12" bestFit="1" customWidth="1"/>
    <col min="4871" max="4871" width="6.28515625" style="12" bestFit="1" customWidth="1"/>
    <col min="4872" max="5109" width="9.140625" style="12"/>
    <col min="5110" max="5110" width="34.28515625" style="12" customWidth="1"/>
    <col min="5111" max="5118" width="10" style="12" bestFit="1" customWidth="1"/>
    <col min="5119" max="5119" width="10" style="12" customWidth="1"/>
    <col min="5120" max="5122" width="0" style="12" hidden="1" customWidth="1"/>
    <col min="5123" max="5123" width="2.140625" style="12" customWidth="1"/>
    <col min="5124" max="5124" width="11" style="12" bestFit="1" customWidth="1"/>
    <col min="5125" max="5125" width="3.85546875" style="12" customWidth="1"/>
    <col min="5126" max="5126" width="11.85546875" style="12" bestFit="1" customWidth="1"/>
    <col min="5127" max="5127" width="6.28515625" style="12" bestFit="1" customWidth="1"/>
    <col min="5128" max="5365" width="9.140625" style="12"/>
    <col min="5366" max="5366" width="34.28515625" style="12" customWidth="1"/>
    <col min="5367" max="5374" width="10" style="12" bestFit="1" customWidth="1"/>
    <col min="5375" max="5375" width="10" style="12" customWidth="1"/>
    <col min="5376" max="5378" width="0" style="12" hidden="1" customWidth="1"/>
    <col min="5379" max="5379" width="2.140625" style="12" customWidth="1"/>
    <col min="5380" max="5380" width="11" style="12" bestFit="1" customWidth="1"/>
    <col min="5381" max="5381" width="3.85546875" style="12" customWidth="1"/>
    <col min="5382" max="5382" width="11.85546875" style="12" bestFit="1" customWidth="1"/>
    <col min="5383" max="5383" width="6.28515625" style="12" bestFit="1" customWidth="1"/>
    <col min="5384" max="5621" width="9.140625" style="12"/>
    <col min="5622" max="5622" width="34.28515625" style="12" customWidth="1"/>
    <col min="5623" max="5630" width="10" style="12" bestFit="1" customWidth="1"/>
    <col min="5631" max="5631" width="10" style="12" customWidth="1"/>
    <col min="5632" max="5634" width="0" style="12" hidden="1" customWidth="1"/>
    <col min="5635" max="5635" width="2.140625" style="12" customWidth="1"/>
    <col min="5636" max="5636" width="11" style="12" bestFit="1" customWidth="1"/>
    <col min="5637" max="5637" width="3.85546875" style="12" customWidth="1"/>
    <col min="5638" max="5638" width="11.85546875" style="12" bestFit="1" customWidth="1"/>
    <col min="5639" max="5639" width="6.28515625" style="12" bestFit="1" customWidth="1"/>
    <col min="5640" max="5877" width="9.140625" style="12"/>
    <col min="5878" max="5878" width="34.28515625" style="12" customWidth="1"/>
    <col min="5879" max="5886" width="10" style="12" bestFit="1" customWidth="1"/>
    <col min="5887" max="5887" width="10" style="12" customWidth="1"/>
    <col min="5888" max="5890" width="0" style="12" hidden="1" customWidth="1"/>
    <col min="5891" max="5891" width="2.140625" style="12" customWidth="1"/>
    <col min="5892" max="5892" width="11" style="12" bestFit="1" customWidth="1"/>
    <col min="5893" max="5893" width="3.85546875" style="12" customWidth="1"/>
    <col min="5894" max="5894" width="11.85546875" style="12" bestFit="1" customWidth="1"/>
    <col min="5895" max="5895" width="6.28515625" style="12" bestFit="1" customWidth="1"/>
    <col min="5896" max="6133" width="9.140625" style="12"/>
    <col min="6134" max="6134" width="34.28515625" style="12" customWidth="1"/>
    <col min="6135" max="6142" width="10" style="12" bestFit="1" customWidth="1"/>
    <col min="6143" max="6143" width="10" style="12" customWidth="1"/>
    <col min="6144" max="6146" width="0" style="12" hidden="1" customWidth="1"/>
    <col min="6147" max="6147" width="2.140625" style="12" customWidth="1"/>
    <col min="6148" max="6148" width="11" style="12" bestFit="1" customWidth="1"/>
    <col min="6149" max="6149" width="3.85546875" style="12" customWidth="1"/>
    <col min="6150" max="6150" width="11.85546875" style="12" bestFit="1" customWidth="1"/>
    <col min="6151" max="6151" width="6.28515625" style="12" bestFit="1" customWidth="1"/>
    <col min="6152" max="6389" width="9.140625" style="12"/>
    <col min="6390" max="6390" width="34.28515625" style="12" customWidth="1"/>
    <col min="6391" max="6398" width="10" style="12" bestFit="1" customWidth="1"/>
    <col min="6399" max="6399" width="10" style="12" customWidth="1"/>
    <col min="6400" max="6402" width="0" style="12" hidden="1" customWidth="1"/>
    <col min="6403" max="6403" width="2.140625" style="12" customWidth="1"/>
    <col min="6404" max="6404" width="11" style="12" bestFit="1" customWidth="1"/>
    <col min="6405" max="6405" width="3.85546875" style="12" customWidth="1"/>
    <col min="6406" max="6406" width="11.85546875" style="12" bestFit="1" customWidth="1"/>
    <col min="6407" max="6407" width="6.28515625" style="12" bestFit="1" customWidth="1"/>
    <col min="6408" max="6645" width="9.140625" style="12"/>
    <col min="6646" max="6646" width="34.28515625" style="12" customWidth="1"/>
    <col min="6647" max="6654" width="10" style="12" bestFit="1" customWidth="1"/>
    <col min="6655" max="6655" width="10" style="12" customWidth="1"/>
    <col min="6656" max="6658" width="0" style="12" hidden="1" customWidth="1"/>
    <col min="6659" max="6659" width="2.140625" style="12" customWidth="1"/>
    <col min="6660" max="6660" width="11" style="12" bestFit="1" customWidth="1"/>
    <col min="6661" max="6661" width="3.85546875" style="12" customWidth="1"/>
    <col min="6662" max="6662" width="11.85546875" style="12" bestFit="1" customWidth="1"/>
    <col min="6663" max="6663" width="6.28515625" style="12" bestFit="1" customWidth="1"/>
    <col min="6664" max="6901" width="9.140625" style="12"/>
    <col min="6902" max="6902" width="34.28515625" style="12" customWidth="1"/>
    <col min="6903" max="6910" width="10" style="12" bestFit="1" customWidth="1"/>
    <col min="6911" max="6911" width="10" style="12" customWidth="1"/>
    <col min="6912" max="6914" width="0" style="12" hidden="1" customWidth="1"/>
    <col min="6915" max="6915" width="2.140625" style="12" customWidth="1"/>
    <col min="6916" max="6916" width="11" style="12" bestFit="1" customWidth="1"/>
    <col min="6917" max="6917" width="3.85546875" style="12" customWidth="1"/>
    <col min="6918" max="6918" width="11.85546875" style="12" bestFit="1" customWidth="1"/>
    <col min="6919" max="6919" width="6.28515625" style="12" bestFit="1" customWidth="1"/>
    <col min="6920" max="7157" width="9.140625" style="12"/>
    <col min="7158" max="7158" width="34.28515625" style="12" customWidth="1"/>
    <col min="7159" max="7166" width="10" style="12" bestFit="1" customWidth="1"/>
    <col min="7167" max="7167" width="10" style="12" customWidth="1"/>
    <col min="7168" max="7170" width="0" style="12" hidden="1" customWidth="1"/>
    <col min="7171" max="7171" width="2.140625" style="12" customWidth="1"/>
    <col min="7172" max="7172" width="11" style="12" bestFit="1" customWidth="1"/>
    <col min="7173" max="7173" width="3.85546875" style="12" customWidth="1"/>
    <col min="7174" max="7174" width="11.85546875" style="12" bestFit="1" customWidth="1"/>
    <col min="7175" max="7175" width="6.28515625" style="12" bestFit="1" customWidth="1"/>
    <col min="7176" max="7413" width="9.140625" style="12"/>
    <col min="7414" max="7414" width="34.28515625" style="12" customWidth="1"/>
    <col min="7415" max="7422" width="10" style="12" bestFit="1" customWidth="1"/>
    <col min="7423" max="7423" width="10" style="12" customWidth="1"/>
    <col min="7424" max="7426" width="0" style="12" hidden="1" customWidth="1"/>
    <col min="7427" max="7427" width="2.140625" style="12" customWidth="1"/>
    <col min="7428" max="7428" width="11" style="12" bestFit="1" customWidth="1"/>
    <col min="7429" max="7429" width="3.85546875" style="12" customWidth="1"/>
    <col min="7430" max="7430" width="11.85546875" style="12" bestFit="1" customWidth="1"/>
    <col min="7431" max="7431" width="6.28515625" style="12" bestFit="1" customWidth="1"/>
    <col min="7432" max="7669" width="9.140625" style="12"/>
    <col min="7670" max="7670" width="34.28515625" style="12" customWidth="1"/>
    <col min="7671" max="7678" width="10" style="12" bestFit="1" customWidth="1"/>
    <col min="7679" max="7679" width="10" style="12" customWidth="1"/>
    <col min="7680" max="7682" width="0" style="12" hidden="1" customWidth="1"/>
    <col min="7683" max="7683" width="2.140625" style="12" customWidth="1"/>
    <col min="7684" max="7684" width="11" style="12" bestFit="1" customWidth="1"/>
    <col min="7685" max="7685" width="3.85546875" style="12" customWidth="1"/>
    <col min="7686" max="7686" width="11.85546875" style="12" bestFit="1" customWidth="1"/>
    <col min="7687" max="7687" width="6.28515625" style="12" bestFit="1" customWidth="1"/>
    <col min="7688" max="7925" width="9.140625" style="12"/>
    <col min="7926" max="7926" width="34.28515625" style="12" customWidth="1"/>
    <col min="7927" max="7934" width="10" style="12" bestFit="1" customWidth="1"/>
    <col min="7935" max="7935" width="10" style="12" customWidth="1"/>
    <col min="7936" max="7938" width="0" style="12" hidden="1" customWidth="1"/>
    <col min="7939" max="7939" width="2.140625" style="12" customWidth="1"/>
    <col min="7940" max="7940" width="11" style="12" bestFit="1" customWidth="1"/>
    <col min="7941" max="7941" width="3.85546875" style="12" customWidth="1"/>
    <col min="7942" max="7942" width="11.85546875" style="12" bestFit="1" customWidth="1"/>
    <col min="7943" max="7943" width="6.28515625" style="12" bestFit="1" customWidth="1"/>
    <col min="7944" max="8181" width="9.140625" style="12"/>
    <col min="8182" max="8182" width="34.28515625" style="12" customWidth="1"/>
    <col min="8183" max="8190" width="10" style="12" bestFit="1" customWidth="1"/>
    <col min="8191" max="8191" width="10" style="12" customWidth="1"/>
    <col min="8192" max="8194" width="0" style="12" hidden="1" customWidth="1"/>
    <col min="8195" max="8195" width="2.140625" style="12" customWidth="1"/>
    <col min="8196" max="8196" width="11" style="12" bestFit="1" customWidth="1"/>
    <col min="8197" max="8197" width="3.85546875" style="12" customWidth="1"/>
    <col min="8198" max="8198" width="11.85546875" style="12" bestFit="1" customWidth="1"/>
    <col min="8199" max="8199" width="6.28515625" style="12" bestFit="1" customWidth="1"/>
    <col min="8200" max="8437" width="9.140625" style="12"/>
    <col min="8438" max="8438" width="34.28515625" style="12" customWidth="1"/>
    <col min="8439" max="8446" width="10" style="12" bestFit="1" customWidth="1"/>
    <col min="8447" max="8447" width="10" style="12" customWidth="1"/>
    <col min="8448" max="8450" width="0" style="12" hidden="1" customWidth="1"/>
    <col min="8451" max="8451" width="2.140625" style="12" customWidth="1"/>
    <col min="8452" max="8452" width="11" style="12" bestFit="1" customWidth="1"/>
    <col min="8453" max="8453" width="3.85546875" style="12" customWidth="1"/>
    <col min="8454" max="8454" width="11.85546875" style="12" bestFit="1" customWidth="1"/>
    <col min="8455" max="8455" width="6.28515625" style="12" bestFit="1" customWidth="1"/>
    <col min="8456" max="8693" width="9.140625" style="12"/>
    <col min="8694" max="8694" width="34.28515625" style="12" customWidth="1"/>
    <col min="8695" max="8702" width="10" style="12" bestFit="1" customWidth="1"/>
    <col min="8703" max="8703" width="10" style="12" customWidth="1"/>
    <col min="8704" max="8706" width="0" style="12" hidden="1" customWidth="1"/>
    <col min="8707" max="8707" width="2.140625" style="12" customWidth="1"/>
    <col min="8708" max="8708" width="11" style="12" bestFit="1" customWidth="1"/>
    <col min="8709" max="8709" width="3.85546875" style="12" customWidth="1"/>
    <col min="8710" max="8710" width="11.85546875" style="12" bestFit="1" customWidth="1"/>
    <col min="8711" max="8711" width="6.28515625" style="12" bestFit="1" customWidth="1"/>
    <col min="8712" max="8949" width="9.140625" style="12"/>
    <col min="8950" max="8950" width="34.28515625" style="12" customWidth="1"/>
    <col min="8951" max="8958" width="10" style="12" bestFit="1" customWidth="1"/>
    <col min="8959" max="8959" width="10" style="12" customWidth="1"/>
    <col min="8960" max="8962" width="0" style="12" hidden="1" customWidth="1"/>
    <col min="8963" max="8963" width="2.140625" style="12" customWidth="1"/>
    <col min="8964" max="8964" width="11" style="12" bestFit="1" customWidth="1"/>
    <col min="8965" max="8965" width="3.85546875" style="12" customWidth="1"/>
    <col min="8966" max="8966" width="11.85546875" style="12" bestFit="1" customWidth="1"/>
    <col min="8967" max="8967" width="6.28515625" style="12" bestFit="1" customWidth="1"/>
    <col min="8968" max="9205" width="9.140625" style="12"/>
    <col min="9206" max="9206" width="34.28515625" style="12" customWidth="1"/>
    <col min="9207" max="9214" width="10" style="12" bestFit="1" customWidth="1"/>
    <col min="9215" max="9215" width="10" style="12" customWidth="1"/>
    <col min="9216" max="9218" width="0" style="12" hidden="1" customWidth="1"/>
    <col min="9219" max="9219" width="2.140625" style="12" customWidth="1"/>
    <col min="9220" max="9220" width="11" style="12" bestFit="1" customWidth="1"/>
    <col min="9221" max="9221" width="3.85546875" style="12" customWidth="1"/>
    <col min="9222" max="9222" width="11.85546875" style="12" bestFit="1" customWidth="1"/>
    <col min="9223" max="9223" width="6.28515625" style="12" bestFit="1" customWidth="1"/>
    <col min="9224" max="9461" width="9.140625" style="12"/>
    <col min="9462" max="9462" width="34.28515625" style="12" customWidth="1"/>
    <col min="9463" max="9470" width="10" style="12" bestFit="1" customWidth="1"/>
    <col min="9471" max="9471" width="10" style="12" customWidth="1"/>
    <col min="9472" max="9474" width="0" style="12" hidden="1" customWidth="1"/>
    <col min="9475" max="9475" width="2.140625" style="12" customWidth="1"/>
    <col min="9476" max="9476" width="11" style="12" bestFit="1" customWidth="1"/>
    <col min="9477" max="9477" width="3.85546875" style="12" customWidth="1"/>
    <col min="9478" max="9478" width="11.85546875" style="12" bestFit="1" customWidth="1"/>
    <col min="9479" max="9479" width="6.28515625" style="12" bestFit="1" customWidth="1"/>
    <col min="9480" max="9717" width="9.140625" style="12"/>
    <col min="9718" max="9718" width="34.28515625" style="12" customWidth="1"/>
    <col min="9719" max="9726" width="10" style="12" bestFit="1" customWidth="1"/>
    <col min="9727" max="9727" width="10" style="12" customWidth="1"/>
    <col min="9728" max="9730" width="0" style="12" hidden="1" customWidth="1"/>
    <col min="9731" max="9731" width="2.140625" style="12" customWidth="1"/>
    <col min="9732" max="9732" width="11" style="12" bestFit="1" customWidth="1"/>
    <col min="9733" max="9733" width="3.85546875" style="12" customWidth="1"/>
    <col min="9734" max="9734" width="11.85546875" style="12" bestFit="1" customWidth="1"/>
    <col min="9735" max="9735" width="6.28515625" style="12" bestFit="1" customWidth="1"/>
    <col min="9736" max="9973" width="9.140625" style="12"/>
    <col min="9974" max="9974" width="34.28515625" style="12" customWidth="1"/>
    <col min="9975" max="9982" width="10" style="12" bestFit="1" customWidth="1"/>
    <col min="9983" max="9983" width="10" style="12" customWidth="1"/>
    <col min="9984" max="9986" width="0" style="12" hidden="1" customWidth="1"/>
    <col min="9987" max="9987" width="2.140625" style="12" customWidth="1"/>
    <col min="9988" max="9988" width="11" style="12" bestFit="1" customWidth="1"/>
    <col min="9989" max="9989" width="3.85546875" style="12" customWidth="1"/>
    <col min="9990" max="9990" width="11.85546875" style="12" bestFit="1" customWidth="1"/>
    <col min="9991" max="9991" width="6.28515625" style="12" bestFit="1" customWidth="1"/>
    <col min="9992" max="10229" width="9.140625" style="12"/>
    <col min="10230" max="10230" width="34.28515625" style="12" customWidth="1"/>
    <col min="10231" max="10238" width="10" style="12" bestFit="1" customWidth="1"/>
    <col min="10239" max="10239" width="10" style="12" customWidth="1"/>
    <col min="10240" max="10242" width="0" style="12" hidden="1" customWidth="1"/>
    <col min="10243" max="10243" width="2.140625" style="12" customWidth="1"/>
    <col min="10244" max="10244" width="11" style="12" bestFit="1" customWidth="1"/>
    <col min="10245" max="10245" width="3.85546875" style="12" customWidth="1"/>
    <col min="10246" max="10246" width="11.85546875" style="12" bestFit="1" customWidth="1"/>
    <col min="10247" max="10247" width="6.28515625" style="12" bestFit="1" customWidth="1"/>
    <col min="10248" max="10485" width="9.140625" style="12"/>
    <col min="10486" max="10486" width="34.28515625" style="12" customWidth="1"/>
    <col min="10487" max="10494" width="10" style="12" bestFit="1" customWidth="1"/>
    <col min="10495" max="10495" width="10" style="12" customWidth="1"/>
    <col min="10496" max="10498" width="0" style="12" hidden="1" customWidth="1"/>
    <col min="10499" max="10499" width="2.140625" style="12" customWidth="1"/>
    <col min="10500" max="10500" width="11" style="12" bestFit="1" customWidth="1"/>
    <col min="10501" max="10501" width="3.85546875" style="12" customWidth="1"/>
    <col min="10502" max="10502" width="11.85546875" style="12" bestFit="1" customWidth="1"/>
    <col min="10503" max="10503" width="6.28515625" style="12" bestFit="1" customWidth="1"/>
    <col min="10504" max="10741" width="9.140625" style="12"/>
    <col min="10742" max="10742" width="34.28515625" style="12" customWidth="1"/>
    <col min="10743" max="10750" width="10" style="12" bestFit="1" customWidth="1"/>
    <col min="10751" max="10751" width="10" style="12" customWidth="1"/>
    <col min="10752" max="10754" width="0" style="12" hidden="1" customWidth="1"/>
    <col min="10755" max="10755" width="2.140625" style="12" customWidth="1"/>
    <col min="10756" max="10756" width="11" style="12" bestFit="1" customWidth="1"/>
    <col min="10757" max="10757" width="3.85546875" style="12" customWidth="1"/>
    <col min="10758" max="10758" width="11.85546875" style="12" bestFit="1" customWidth="1"/>
    <col min="10759" max="10759" width="6.28515625" style="12" bestFit="1" customWidth="1"/>
    <col min="10760" max="10997" width="9.140625" style="12"/>
    <col min="10998" max="10998" width="34.28515625" style="12" customWidth="1"/>
    <col min="10999" max="11006" width="10" style="12" bestFit="1" customWidth="1"/>
    <col min="11007" max="11007" width="10" style="12" customWidth="1"/>
    <col min="11008" max="11010" width="0" style="12" hidden="1" customWidth="1"/>
    <col min="11011" max="11011" width="2.140625" style="12" customWidth="1"/>
    <col min="11012" max="11012" width="11" style="12" bestFit="1" customWidth="1"/>
    <col min="11013" max="11013" width="3.85546875" style="12" customWidth="1"/>
    <col min="11014" max="11014" width="11.85546875" style="12" bestFit="1" customWidth="1"/>
    <col min="11015" max="11015" width="6.28515625" style="12" bestFit="1" customWidth="1"/>
    <col min="11016" max="11253" width="9.140625" style="12"/>
    <col min="11254" max="11254" width="34.28515625" style="12" customWidth="1"/>
    <col min="11255" max="11262" width="10" style="12" bestFit="1" customWidth="1"/>
    <col min="11263" max="11263" width="10" style="12" customWidth="1"/>
    <col min="11264" max="11266" width="0" style="12" hidden="1" customWidth="1"/>
    <col min="11267" max="11267" width="2.140625" style="12" customWidth="1"/>
    <col min="11268" max="11268" width="11" style="12" bestFit="1" customWidth="1"/>
    <col min="11269" max="11269" width="3.85546875" style="12" customWidth="1"/>
    <col min="11270" max="11270" width="11.85546875" style="12" bestFit="1" customWidth="1"/>
    <col min="11271" max="11271" width="6.28515625" style="12" bestFit="1" customWidth="1"/>
    <col min="11272" max="11509" width="9.140625" style="12"/>
    <col min="11510" max="11510" width="34.28515625" style="12" customWidth="1"/>
    <col min="11511" max="11518" width="10" style="12" bestFit="1" customWidth="1"/>
    <col min="11519" max="11519" width="10" style="12" customWidth="1"/>
    <col min="11520" max="11522" width="0" style="12" hidden="1" customWidth="1"/>
    <col min="11523" max="11523" width="2.140625" style="12" customWidth="1"/>
    <col min="11524" max="11524" width="11" style="12" bestFit="1" customWidth="1"/>
    <col min="11525" max="11525" width="3.85546875" style="12" customWidth="1"/>
    <col min="11526" max="11526" width="11.85546875" style="12" bestFit="1" customWidth="1"/>
    <col min="11527" max="11527" width="6.28515625" style="12" bestFit="1" customWidth="1"/>
    <col min="11528" max="11765" width="9.140625" style="12"/>
    <col min="11766" max="11766" width="34.28515625" style="12" customWidth="1"/>
    <col min="11767" max="11774" width="10" style="12" bestFit="1" customWidth="1"/>
    <col min="11775" max="11775" width="10" style="12" customWidth="1"/>
    <col min="11776" max="11778" width="0" style="12" hidden="1" customWidth="1"/>
    <col min="11779" max="11779" width="2.140625" style="12" customWidth="1"/>
    <col min="11780" max="11780" width="11" style="12" bestFit="1" customWidth="1"/>
    <col min="11781" max="11781" width="3.85546875" style="12" customWidth="1"/>
    <col min="11782" max="11782" width="11.85546875" style="12" bestFit="1" customWidth="1"/>
    <col min="11783" max="11783" width="6.28515625" style="12" bestFit="1" customWidth="1"/>
    <col min="11784" max="12021" width="9.140625" style="12"/>
    <col min="12022" max="12022" width="34.28515625" style="12" customWidth="1"/>
    <col min="12023" max="12030" width="10" style="12" bestFit="1" customWidth="1"/>
    <col min="12031" max="12031" width="10" style="12" customWidth="1"/>
    <col min="12032" max="12034" width="0" style="12" hidden="1" customWidth="1"/>
    <col min="12035" max="12035" width="2.140625" style="12" customWidth="1"/>
    <col min="12036" max="12036" width="11" style="12" bestFit="1" customWidth="1"/>
    <col min="12037" max="12037" width="3.85546875" style="12" customWidth="1"/>
    <col min="12038" max="12038" width="11.85546875" style="12" bestFit="1" customWidth="1"/>
    <col min="12039" max="12039" width="6.28515625" style="12" bestFit="1" customWidth="1"/>
    <col min="12040" max="12277" width="9.140625" style="12"/>
    <col min="12278" max="12278" width="34.28515625" style="12" customWidth="1"/>
    <col min="12279" max="12286" width="10" style="12" bestFit="1" customWidth="1"/>
    <col min="12287" max="12287" width="10" style="12" customWidth="1"/>
    <col min="12288" max="12290" width="0" style="12" hidden="1" customWidth="1"/>
    <col min="12291" max="12291" width="2.140625" style="12" customWidth="1"/>
    <col min="12292" max="12292" width="11" style="12" bestFit="1" customWidth="1"/>
    <col min="12293" max="12293" width="3.85546875" style="12" customWidth="1"/>
    <col min="12294" max="12294" width="11.85546875" style="12" bestFit="1" customWidth="1"/>
    <col min="12295" max="12295" width="6.28515625" style="12" bestFit="1" customWidth="1"/>
    <col min="12296" max="12533" width="9.140625" style="12"/>
    <col min="12534" max="12534" width="34.28515625" style="12" customWidth="1"/>
    <col min="12535" max="12542" width="10" style="12" bestFit="1" customWidth="1"/>
    <col min="12543" max="12543" width="10" style="12" customWidth="1"/>
    <col min="12544" max="12546" width="0" style="12" hidden="1" customWidth="1"/>
    <col min="12547" max="12547" width="2.140625" style="12" customWidth="1"/>
    <col min="12548" max="12548" width="11" style="12" bestFit="1" customWidth="1"/>
    <col min="12549" max="12549" width="3.85546875" style="12" customWidth="1"/>
    <col min="12550" max="12550" width="11.85546875" style="12" bestFit="1" customWidth="1"/>
    <col min="12551" max="12551" width="6.28515625" style="12" bestFit="1" customWidth="1"/>
    <col min="12552" max="12789" width="9.140625" style="12"/>
    <col min="12790" max="12790" width="34.28515625" style="12" customWidth="1"/>
    <col min="12791" max="12798" width="10" style="12" bestFit="1" customWidth="1"/>
    <col min="12799" max="12799" width="10" style="12" customWidth="1"/>
    <col min="12800" max="12802" width="0" style="12" hidden="1" customWidth="1"/>
    <col min="12803" max="12803" width="2.140625" style="12" customWidth="1"/>
    <col min="12804" max="12804" width="11" style="12" bestFit="1" customWidth="1"/>
    <col min="12805" max="12805" width="3.85546875" style="12" customWidth="1"/>
    <col min="12806" max="12806" width="11.85546875" style="12" bestFit="1" customWidth="1"/>
    <col min="12807" max="12807" width="6.28515625" style="12" bestFit="1" customWidth="1"/>
    <col min="12808" max="13045" width="9.140625" style="12"/>
    <col min="13046" max="13046" width="34.28515625" style="12" customWidth="1"/>
    <col min="13047" max="13054" width="10" style="12" bestFit="1" customWidth="1"/>
    <col min="13055" max="13055" width="10" style="12" customWidth="1"/>
    <col min="13056" max="13058" width="0" style="12" hidden="1" customWidth="1"/>
    <col min="13059" max="13059" width="2.140625" style="12" customWidth="1"/>
    <col min="13060" max="13060" width="11" style="12" bestFit="1" customWidth="1"/>
    <col min="13061" max="13061" width="3.85546875" style="12" customWidth="1"/>
    <col min="13062" max="13062" width="11.85546875" style="12" bestFit="1" customWidth="1"/>
    <col min="13063" max="13063" width="6.28515625" style="12" bestFit="1" customWidth="1"/>
    <col min="13064" max="13301" width="9.140625" style="12"/>
    <col min="13302" max="13302" width="34.28515625" style="12" customWidth="1"/>
    <col min="13303" max="13310" width="10" style="12" bestFit="1" customWidth="1"/>
    <col min="13311" max="13311" width="10" style="12" customWidth="1"/>
    <col min="13312" max="13314" width="0" style="12" hidden="1" customWidth="1"/>
    <col min="13315" max="13315" width="2.140625" style="12" customWidth="1"/>
    <col min="13316" max="13316" width="11" style="12" bestFit="1" customWidth="1"/>
    <col min="13317" max="13317" width="3.85546875" style="12" customWidth="1"/>
    <col min="13318" max="13318" width="11.85546875" style="12" bestFit="1" customWidth="1"/>
    <col min="13319" max="13319" width="6.28515625" style="12" bestFit="1" customWidth="1"/>
    <col min="13320" max="13557" width="9.140625" style="12"/>
    <col min="13558" max="13558" width="34.28515625" style="12" customWidth="1"/>
    <col min="13559" max="13566" width="10" style="12" bestFit="1" customWidth="1"/>
    <col min="13567" max="13567" width="10" style="12" customWidth="1"/>
    <col min="13568" max="13570" width="0" style="12" hidden="1" customWidth="1"/>
    <col min="13571" max="13571" width="2.140625" style="12" customWidth="1"/>
    <col min="13572" max="13572" width="11" style="12" bestFit="1" customWidth="1"/>
    <col min="13573" max="13573" width="3.85546875" style="12" customWidth="1"/>
    <col min="13574" max="13574" width="11.85546875" style="12" bestFit="1" customWidth="1"/>
    <col min="13575" max="13575" width="6.28515625" style="12" bestFit="1" customWidth="1"/>
    <col min="13576" max="13813" width="9.140625" style="12"/>
    <col min="13814" max="13814" width="34.28515625" style="12" customWidth="1"/>
    <col min="13815" max="13822" width="10" style="12" bestFit="1" customWidth="1"/>
    <col min="13823" max="13823" width="10" style="12" customWidth="1"/>
    <col min="13824" max="13826" width="0" style="12" hidden="1" customWidth="1"/>
    <col min="13827" max="13827" width="2.140625" style="12" customWidth="1"/>
    <col min="13828" max="13828" width="11" style="12" bestFit="1" customWidth="1"/>
    <col min="13829" max="13829" width="3.85546875" style="12" customWidth="1"/>
    <col min="13830" max="13830" width="11.85546875" style="12" bestFit="1" customWidth="1"/>
    <col min="13831" max="13831" width="6.28515625" style="12" bestFit="1" customWidth="1"/>
    <col min="13832" max="14069" width="9.140625" style="12"/>
    <col min="14070" max="14070" width="34.28515625" style="12" customWidth="1"/>
    <col min="14071" max="14078" width="10" style="12" bestFit="1" customWidth="1"/>
    <col min="14079" max="14079" width="10" style="12" customWidth="1"/>
    <col min="14080" max="14082" width="0" style="12" hidden="1" customWidth="1"/>
    <col min="14083" max="14083" width="2.140625" style="12" customWidth="1"/>
    <col min="14084" max="14084" width="11" style="12" bestFit="1" customWidth="1"/>
    <col min="14085" max="14085" width="3.85546875" style="12" customWidth="1"/>
    <col min="14086" max="14086" width="11.85546875" style="12" bestFit="1" customWidth="1"/>
    <col min="14087" max="14087" width="6.28515625" style="12" bestFit="1" customWidth="1"/>
    <col min="14088" max="14325" width="9.140625" style="12"/>
    <col min="14326" max="14326" width="34.28515625" style="12" customWidth="1"/>
    <col min="14327" max="14334" width="10" style="12" bestFit="1" customWidth="1"/>
    <col min="14335" max="14335" width="10" style="12" customWidth="1"/>
    <col min="14336" max="14338" width="0" style="12" hidden="1" customWidth="1"/>
    <col min="14339" max="14339" width="2.140625" style="12" customWidth="1"/>
    <col min="14340" max="14340" width="11" style="12" bestFit="1" customWidth="1"/>
    <col min="14341" max="14341" width="3.85546875" style="12" customWidth="1"/>
    <col min="14342" max="14342" width="11.85546875" style="12" bestFit="1" customWidth="1"/>
    <col min="14343" max="14343" width="6.28515625" style="12" bestFit="1" customWidth="1"/>
    <col min="14344" max="14581" width="9.140625" style="12"/>
    <col min="14582" max="14582" width="34.28515625" style="12" customWidth="1"/>
    <col min="14583" max="14590" width="10" style="12" bestFit="1" customWidth="1"/>
    <col min="14591" max="14591" width="10" style="12" customWidth="1"/>
    <col min="14592" max="14594" width="0" style="12" hidden="1" customWidth="1"/>
    <col min="14595" max="14595" width="2.140625" style="12" customWidth="1"/>
    <col min="14596" max="14596" width="11" style="12" bestFit="1" customWidth="1"/>
    <col min="14597" max="14597" width="3.85546875" style="12" customWidth="1"/>
    <col min="14598" max="14598" width="11.85546875" style="12" bestFit="1" customWidth="1"/>
    <col min="14599" max="14599" width="6.28515625" style="12" bestFit="1" customWidth="1"/>
    <col min="14600" max="14837" width="9.140625" style="12"/>
    <col min="14838" max="14838" width="34.28515625" style="12" customWidth="1"/>
    <col min="14839" max="14846" width="10" style="12" bestFit="1" customWidth="1"/>
    <col min="14847" max="14847" width="10" style="12" customWidth="1"/>
    <col min="14848" max="14850" width="0" style="12" hidden="1" customWidth="1"/>
    <col min="14851" max="14851" width="2.140625" style="12" customWidth="1"/>
    <col min="14852" max="14852" width="11" style="12" bestFit="1" customWidth="1"/>
    <col min="14853" max="14853" width="3.85546875" style="12" customWidth="1"/>
    <col min="14854" max="14854" width="11.85546875" style="12" bestFit="1" customWidth="1"/>
    <col min="14855" max="14855" width="6.28515625" style="12" bestFit="1" customWidth="1"/>
    <col min="14856" max="15093" width="9.140625" style="12"/>
    <col min="15094" max="15094" width="34.28515625" style="12" customWidth="1"/>
    <col min="15095" max="15102" width="10" style="12" bestFit="1" customWidth="1"/>
    <col min="15103" max="15103" width="10" style="12" customWidth="1"/>
    <col min="15104" max="15106" width="0" style="12" hidden="1" customWidth="1"/>
    <col min="15107" max="15107" width="2.140625" style="12" customWidth="1"/>
    <col min="15108" max="15108" width="11" style="12" bestFit="1" customWidth="1"/>
    <col min="15109" max="15109" width="3.85546875" style="12" customWidth="1"/>
    <col min="15110" max="15110" width="11.85546875" style="12" bestFit="1" customWidth="1"/>
    <col min="15111" max="15111" width="6.28515625" style="12" bestFit="1" customWidth="1"/>
    <col min="15112" max="15349" width="9.140625" style="12"/>
    <col min="15350" max="15350" width="34.28515625" style="12" customWidth="1"/>
    <col min="15351" max="15358" width="10" style="12" bestFit="1" customWidth="1"/>
    <col min="15359" max="15359" width="10" style="12" customWidth="1"/>
    <col min="15360" max="15362" width="0" style="12" hidden="1" customWidth="1"/>
    <col min="15363" max="15363" width="2.140625" style="12" customWidth="1"/>
    <col min="15364" max="15364" width="11" style="12" bestFit="1" customWidth="1"/>
    <col min="15365" max="15365" width="3.85546875" style="12" customWidth="1"/>
    <col min="15366" max="15366" width="11.85546875" style="12" bestFit="1" customWidth="1"/>
    <col min="15367" max="15367" width="6.28515625" style="12" bestFit="1" customWidth="1"/>
    <col min="15368" max="15605" width="9.140625" style="12"/>
    <col min="15606" max="15606" width="34.28515625" style="12" customWidth="1"/>
    <col min="15607" max="15614" width="10" style="12" bestFit="1" customWidth="1"/>
    <col min="15615" max="15615" width="10" style="12" customWidth="1"/>
    <col min="15616" max="15618" width="0" style="12" hidden="1" customWidth="1"/>
    <col min="15619" max="15619" width="2.140625" style="12" customWidth="1"/>
    <col min="15620" max="15620" width="11" style="12" bestFit="1" customWidth="1"/>
    <col min="15621" max="15621" width="3.85546875" style="12" customWidth="1"/>
    <col min="15622" max="15622" width="11.85546875" style="12" bestFit="1" customWidth="1"/>
    <col min="15623" max="15623" width="6.28515625" style="12" bestFit="1" customWidth="1"/>
    <col min="15624" max="15861" width="9.140625" style="12"/>
    <col min="15862" max="15862" width="34.28515625" style="12" customWidth="1"/>
    <col min="15863" max="15870" width="10" style="12" bestFit="1" customWidth="1"/>
    <col min="15871" max="15871" width="10" style="12" customWidth="1"/>
    <col min="15872" max="15874" width="0" style="12" hidden="1" customWidth="1"/>
    <col min="15875" max="15875" width="2.140625" style="12" customWidth="1"/>
    <col min="15876" max="15876" width="11" style="12" bestFit="1" customWidth="1"/>
    <col min="15877" max="15877" width="3.85546875" style="12" customWidth="1"/>
    <col min="15878" max="15878" width="11.85546875" style="12" bestFit="1" customWidth="1"/>
    <col min="15879" max="15879" width="6.28515625" style="12" bestFit="1" customWidth="1"/>
    <col min="15880" max="16117" width="9.140625" style="12"/>
    <col min="16118" max="16118" width="34.28515625" style="12" customWidth="1"/>
    <col min="16119" max="16126" width="10" style="12" bestFit="1" customWidth="1"/>
    <col min="16127" max="16127" width="10" style="12" customWidth="1"/>
    <col min="16128" max="16130" width="0" style="12" hidden="1" customWidth="1"/>
    <col min="16131" max="16131" width="2.140625" style="12" customWidth="1"/>
    <col min="16132" max="16132" width="11" style="12" bestFit="1" customWidth="1"/>
    <col min="16133" max="16133" width="3.85546875" style="12" customWidth="1"/>
    <col min="16134" max="16134" width="11.85546875" style="12" bestFit="1" customWidth="1"/>
    <col min="16135" max="16135" width="6.28515625" style="12" bestFit="1" customWidth="1"/>
    <col min="16136" max="16384" width="9.140625" style="12"/>
  </cols>
  <sheetData>
    <row r="1" spans="1:7" ht="27" customHeight="1" x14ac:dyDescent="0.2">
      <c r="A1" s="138" t="s">
        <v>351</v>
      </c>
      <c r="B1" s="138"/>
      <c r="C1" s="138"/>
      <c r="D1" s="138"/>
      <c r="E1" s="138"/>
      <c r="F1" s="138"/>
      <c r="G1" s="138"/>
    </row>
    <row r="2" spans="1:7" ht="12.75" customHeight="1" x14ac:dyDescent="0.35">
      <c r="B2" s="46"/>
      <c r="C2" s="46"/>
      <c r="D2" s="46"/>
    </row>
    <row r="3" spans="1:7" x14ac:dyDescent="0.2">
      <c r="B3" s="51"/>
      <c r="C3" s="51"/>
      <c r="D3" s="51"/>
      <c r="E3" s="51"/>
      <c r="F3" s="136" t="s">
        <v>319</v>
      </c>
      <c r="G3" s="137"/>
    </row>
    <row r="4" spans="1:7" s="5" customFormat="1" x14ac:dyDescent="0.2">
      <c r="A4" s="42" t="s">
        <v>54</v>
      </c>
      <c r="B4" s="53" t="s">
        <v>230</v>
      </c>
      <c r="C4" s="53" t="s">
        <v>307</v>
      </c>
      <c r="D4" s="53" t="s">
        <v>346</v>
      </c>
      <c r="E4" s="54"/>
      <c r="F4" s="55" t="s">
        <v>344</v>
      </c>
      <c r="G4" s="55" t="s">
        <v>345</v>
      </c>
    </row>
    <row r="5" spans="1:7" s="5" customFormat="1" hidden="1" x14ac:dyDescent="0.2">
      <c r="A5" s="6"/>
      <c r="B5" s="7"/>
      <c r="C5" s="7"/>
      <c r="D5" s="7" t="e">
        <f>#REF!</f>
        <v>#REF!</v>
      </c>
      <c r="E5" s="4"/>
      <c r="F5" s="7"/>
      <c r="G5" s="7"/>
    </row>
    <row r="6" spans="1:7" s="5" customFormat="1" ht="22.5" customHeight="1" x14ac:dyDescent="0.2">
      <c r="A6" s="8" t="s">
        <v>54</v>
      </c>
      <c r="B6" s="4"/>
      <c r="C6" s="4"/>
      <c r="D6" s="4"/>
      <c r="E6" s="4"/>
      <c r="F6" s="4"/>
      <c r="G6" s="4"/>
    </row>
    <row r="7" spans="1:7" hidden="1" x14ac:dyDescent="0.2">
      <c r="A7" s="9" t="s">
        <v>166</v>
      </c>
      <c r="B7" s="10">
        <v>0</v>
      </c>
      <c r="C7" s="10">
        <v>0</v>
      </c>
      <c r="D7" s="10" t="e">
        <f>VLOOKUP(A7,#REF!,15,0)</f>
        <v>#REF!</v>
      </c>
      <c r="F7" s="61" t="str">
        <f>IFERROR(C7/B7-1,"")</f>
        <v/>
      </c>
      <c r="G7" s="61" t="str">
        <f>IFERROR(D7/C7-1,"")</f>
        <v/>
      </c>
    </row>
    <row r="8" spans="1:7" x14ac:dyDescent="0.2">
      <c r="A8" s="13" t="s">
        <v>167</v>
      </c>
      <c r="B8" s="10">
        <v>1703.29</v>
      </c>
      <c r="C8" s="10">
        <v>2832.65</v>
      </c>
      <c r="D8" s="10" t="e">
        <f>VLOOKUP(A8,#REF!,15,0)</f>
        <v>#REF!</v>
      </c>
      <c r="F8" s="10">
        <f>C8-B8</f>
        <v>1129.3600000000001</v>
      </c>
      <c r="G8" s="10" t="e">
        <f>D8-C8</f>
        <v>#REF!</v>
      </c>
    </row>
    <row r="9" spans="1:7" hidden="1" x14ac:dyDescent="0.2">
      <c r="A9" s="13" t="s">
        <v>168</v>
      </c>
      <c r="B9" s="10">
        <v>0</v>
      </c>
      <c r="C9" s="10">
        <v>0</v>
      </c>
      <c r="D9" s="10" t="e">
        <f>VLOOKUP(A9,#REF!,15,0)</f>
        <v>#REF!</v>
      </c>
      <c r="F9" s="10">
        <f t="shared" ref="F9:F26" si="0">C9-B9</f>
        <v>0</v>
      </c>
      <c r="G9" s="10" t="e">
        <f t="shared" ref="G9:G26" si="1">D9-C9</f>
        <v>#REF!</v>
      </c>
    </row>
    <row r="10" spans="1:7" x14ac:dyDescent="0.2">
      <c r="A10" s="13" t="s">
        <v>169</v>
      </c>
      <c r="B10" s="10">
        <v>2442</v>
      </c>
      <c r="C10" s="10">
        <v>590</v>
      </c>
      <c r="D10" s="10" t="e">
        <f>VLOOKUP(A10,#REF!,15,0)</f>
        <v>#REF!</v>
      </c>
      <c r="F10" s="10">
        <f t="shared" si="0"/>
        <v>-1852</v>
      </c>
      <c r="G10" s="10" t="e">
        <f t="shared" si="1"/>
        <v>#REF!</v>
      </c>
    </row>
    <row r="11" spans="1:7" x14ac:dyDescent="0.2">
      <c r="A11" s="13" t="s">
        <v>170</v>
      </c>
      <c r="B11" s="10">
        <v>3379.4399999999996</v>
      </c>
      <c r="C11" s="10">
        <v>1300</v>
      </c>
      <c r="D11" s="10" t="e">
        <f>VLOOKUP(A11,#REF!,15,0)</f>
        <v>#REF!</v>
      </c>
      <c r="F11" s="10">
        <f t="shared" si="0"/>
        <v>-2079.4399999999996</v>
      </c>
      <c r="G11" s="10" t="e">
        <f t="shared" si="1"/>
        <v>#REF!</v>
      </c>
    </row>
    <row r="12" spans="1:7" x14ac:dyDescent="0.2">
      <c r="A12" s="13" t="s">
        <v>171</v>
      </c>
      <c r="B12" s="10">
        <v>582.97</v>
      </c>
      <c r="C12" s="10">
        <v>3131.8399999999997</v>
      </c>
      <c r="D12" s="10" t="e">
        <f>VLOOKUP(A12,#REF!,15,0)</f>
        <v>#REF!</v>
      </c>
      <c r="F12" s="10">
        <f t="shared" si="0"/>
        <v>2548.87</v>
      </c>
      <c r="G12" s="10" t="e">
        <f t="shared" si="1"/>
        <v>#REF!</v>
      </c>
    </row>
    <row r="13" spans="1:7" x14ac:dyDescent="0.2">
      <c r="A13" s="13" t="s">
        <v>172</v>
      </c>
      <c r="B13" s="10">
        <v>2087.13</v>
      </c>
      <c r="C13" s="10">
        <v>2491.94</v>
      </c>
      <c r="D13" s="10" t="e">
        <f>VLOOKUP(A13,#REF!,15,0)</f>
        <v>#REF!</v>
      </c>
      <c r="F13" s="10">
        <f t="shared" si="0"/>
        <v>404.80999999999995</v>
      </c>
      <c r="G13" s="10" t="e">
        <f t="shared" si="1"/>
        <v>#REF!</v>
      </c>
    </row>
    <row r="14" spans="1:7" hidden="1" x14ac:dyDescent="0.2">
      <c r="A14" s="13" t="s">
        <v>173</v>
      </c>
      <c r="B14" s="10">
        <v>0</v>
      </c>
      <c r="C14" s="10">
        <v>0</v>
      </c>
      <c r="D14" s="10" t="e">
        <f>VLOOKUP(A14,#REF!,15,0)</f>
        <v>#REF!</v>
      </c>
      <c r="F14" s="10">
        <f t="shared" si="0"/>
        <v>0</v>
      </c>
      <c r="G14" s="10" t="e">
        <f t="shared" si="1"/>
        <v>#REF!</v>
      </c>
    </row>
    <row r="15" spans="1:7" x14ac:dyDescent="0.2">
      <c r="A15" s="13" t="s">
        <v>174</v>
      </c>
      <c r="B15" s="10">
        <v>205.60000000000002</v>
      </c>
      <c r="C15" s="10">
        <v>289.40000000000003</v>
      </c>
      <c r="D15" s="10" t="e">
        <f>VLOOKUP(A15,#REF!,15,0)</f>
        <v>#REF!</v>
      </c>
      <c r="F15" s="10">
        <f t="shared" si="0"/>
        <v>83.800000000000011</v>
      </c>
      <c r="G15" s="10" t="e">
        <f t="shared" si="1"/>
        <v>#REF!</v>
      </c>
    </row>
    <row r="16" spans="1:7" x14ac:dyDescent="0.2">
      <c r="A16" s="13" t="s">
        <v>175</v>
      </c>
      <c r="B16" s="10">
        <v>6771.6099999999988</v>
      </c>
      <c r="C16" s="10">
        <v>4954.3200000000006</v>
      </c>
      <c r="D16" s="10" t="e">
        <f>VLOOKUP(A16,#REF!,15,0)</f>
        <v>#REF!</v>
      </c>
      <c r="F16" s="10">
        <f t="shared" si="0"/>
        <v>-1817.2899999999981</v>
      </c>
      <c r="G16" s="10" t="e">
        <f t="shared" si="1"/>
        <v>#REF!</v>
      </c>
    </row>
    <row r="17" spans="1:7" x14ac:dyDescent="0.2">
      <c r="A17" s="13" t="s">
        <v>176</v>
      </c>
      <c r="B17" s="10">
        <v>1838.6799999999998</v>
      </c>
      <c r="C17" s="10">
        <v>0</v>
      </c>
      <c r="D17" s="10" t="e">
        <f>VLOOKUP(A17,#REF!,15,0)</f>
        <v>#REF!</v>
      </c>
      <c r="F17" s="10">
        <f t="shared" si="0"/>
        <v>-1838.6799999999998</v>
      </c>
      <c r="G17" s="10" t="e">
        <f t="shared" si="1"/>
        <v>#REF!</v>
      </c>
    </row>
    <row r="18" spans="1:7" x14ac:dyDescent="0.2">
      <c r="A18" s="13" t="s">
        <v>177</v>
      </c>
      <c r="B18" s="10">
        <v>427.5</v>
      </c>
      <c r="C18" s="10">
        <v>1160</v>
      </c>
      <c r="D18" s="10" t="e">
        <f>VLOOKUP(A18,#REF!,15,0)</f>
        <v>#REF!</v>
      </c>
      <c r="F18" s="10">
        <f t="shared" si="0"/>
        <v>732.5</v>
      </c>
      <c r="G18" s="10" t="e">
        <f t="shared" si="1"/>
        <v>#REF!</v>
      </c>
    </row>
    <row r="19" spans="1:7" x14ac:dyDescent="0.2">
      <c r="A19" s="13" t="s">
        <v>178</v>
      </c>
      <c r="B19" s="10">
        <v>90</v>
      </c>
      <c r="C19" s="10">
        <v>0</v>
      </c>
      <c r="D19" s="10" t="e">
        <f>VLOOKUP(A19,#REF!,15,0)</f>
        <v>#REF!</v>
      </c>
      <c r="F19" s="10">
        <f t="shared" si="0"/>
        <v>-90</v>
      </c>
      <c r="G19" s="10" t="e">
        <f t="shared" si="1"/>
        <v>#REF!</v>
      </c>
    </row>
    <row r="20" spans="1:7" x14ac:dyDescent="0.2">
      <c r="A20" s="13" t="s">
        <v>179</v>
      </c>
      <c r="B20" s="10">
        <v>2439.5500000000002</v>
      </c>
      <c r="C20" s="10">
        <v>0</v>
      </c>
      <c r="D20" s="10" t="e">
        <f>VLOOKUP(A20,#REF!,15,0)</f>
        <v>#REF!</v>
      </c>
      <c r="F20" s="10">
        <f t="shared" si="0"/>
        <v>-2439.5500000000002</v>
      </c>
      <c r="G20" s="10" t="e">
        <f t="shared" si="1"/>
        <v>#REF!</v>
      </c>
    </row>
    <row r="21" spans="1:7" x14ac:dyDescent="0.2">
      <c r="A21" s="13" t="s">
        <v>180</v>
      </c>
      <c r="B21" s="10">
        <v>10468</v>
      </c>
      <c r="C21" s="10">
        <v>11187</v>
      </c>
      <c r="D21" s="10" t="e">
        <f>VLOOKUP(A21,#REF!,15,0)</f>
        <v>#REF!</v>
      </c>
      <c r="F21" s="10">
        <f t="shared" si="0"/>
        <v>719</v>
      </c>
      <c r="G21" s="10" t="e">
        <f t="shared" si="1"/>
        <v>#REF!</v>
      </c>
    </row>
    <row r="22" spans="1:7" x14ac:dyDescent="0.2">
      <c r="A22" s="13" t="s">
        <v>181</v>
      </c>
      <c r="B22" s="10">
        <v>19645.34</v>
      </c>
      <c r="C22" s="10">
        <v>4382.5</v>
      </c>
      <c r="D22" s="10" t="e">
        <f>VLOOKUP(A22,#REF!,15,0)</f>
        <v>#REF!</v>
      </c>
      <c r="F22" s="10">
        <f t="shared" si="0"/>
        <v>-15262.84</v>
      </c>
      <c r="G22" s="10" t="e">
        <f t="shared" si="1"/>
        <v>#REF!</v>
      </c>
    </row>
    <row r="23" spans="1:7" x14ac:dyDescent="0.2">
      <c r="A23" s="13" t="s">
        <v>182</v>
      </c>
      <c r="B23" s="10">
        <v>17215.79</v>
      </c>
      <c r="C23" s="10">
        <v>9320.9100000000017</v>
      </c>
      <c r="D23" s="10" t="e">
        <f>VLOOKUP(A23,#REF!,15,0)</f>
        <v>#REF!</v>
      </c>
      <c r="F23" s="10">
        <f t="shared" si="0"/>
        <v>-7894.8799999999992</v>
      </c>
      <c r="G23" s="10" t="e">
        <f t="shared" si="1"/>
        <v>#REF!</v>
      </c>
    </row>
    <row r="24" spans="1:7" x14ac:dyDescent="0.2">
      <c r="A24" s="13" t="s">
        <v>183</v>
      </c>
      <c r="B24" s="10">
        <v>1668.4899999999998</v>
      </c>
      <c r="C24" s="10">
        <v>257.37</v>
      </c>
      <c r="D24" s="10" t="e">
        <f>VLOOKUP(A24,#REF!,15,0)</f>
        <v>#REF!</v>
      </c>
      <c r="F24" s="10">
        <f t="shared" si="0"/>
        <v>-1411.12</v>
      </c>
      <c r="G24" s="10" t="e">
        <f t="shared" si="1"/>
        <v>#REF!</v>
      </c>
    </row>
    <row r="25" spans="1:7" hidden="1" x14ac:dyDescent="0.2">
      <c r="A25" s="13" t="s">
        <v>184</v>
      </c>
      <c r="B25" s="10">
        <v>0</v>
      </c>
      <c r="C25" s="10">
        <v>0</v>
      </c>
      <c r="D25" s="10" t="e">
        <f>VLOOKUP(A25,#REF!,15,0)</f>
        <v>#REF!</v>
      </c>
      <c r="F25" s="10">
        <f t="shared" si="0"/>
        <v>0</v>
      </c>
      <c r="G25" s="10" t="e">
        <f t="shared" si="1"/>
        <v>#REF!</v>
      </c>
    </row>
    <row r="26" spans="1:7" x14ac:dyDescent="0.2">
      <c r="A26" s="13" t="s">
        <v>317</v>
      </c>
      <c r="B26" s="10">
        <v>0</v>
      </c>
      <c r="C26" s="10">
        <v>1800</v>
      </c>
      <c r="D26" s="10" t="e">
        <f>VLOOKUP(A26,#REF!,15,0)</f>
        <v>#REF!</v>
      </c>
      <c r="F26" s="10">
        <f t="shared" si="0"/>
        <v>1800</v>
      </c>
      <c r="G26" s="10" t="e">
        <f t="shared" si="1"/>
        <v>#REF!</v>
      </c>
    </row>
    <row r="27" spans="1:7" x14ac:dyDescent="0.2">
      <c r="A27" s="15" t="s">
        <v>281</v>
      </c>
      <c r="B27" s="16">
        <f>SUM(B7:B26)</f>
        <v>70965.39</v>
      </c>
      <c r="C27" s="16">
        <f>SUM(C7:C26)</f>
        <v>43697.930000000008</v>
      </c>
      <c r="D27" s="16" t="e">
        <f>SUM(D7:D26)</f>
        <v>#REF!</v>
      </c>
      <c r="F27" s="16">
        <f>SUM(F7:F26)</f>
        <v>-27267.459999999995</v>
      </c>
      <c r="G27" s="16" t="e">
        <f>SUM(G7:G26)</f>
        <v>#REF!</v>
      </c>
    </row>
    <row r="28" spans="1:7" x14ac:dyDescent="0.2">
      <c r="F28" s="73">
        <f>IFERROR(C27/B27-1,"")</f>
        <v>-0.38423603393146988</v>
      </c>
      <c r="G28" s="73" t="str">
        <f>IFERROR(D27/C27-1,"")</f>
        <v/>
      </c>
    </row>
  </sheetData>
  <mergeCells count="2">
    <mergeCell ref="A1:G1"/>
    <mergeCell ref="F3:G3"/>
  </mergeCells>
  <printOptions horizontalCentered="1"/>
  <pageMargins left="0.51181102362204722" right="0.51181102362204722" top="1.3779527559055118" bottom="0.78740157480314965" header="0.78740157480314965" footer="0.31496062992125984"/>
  <pageSetup paperSize="9" scale="110" orientation="landscape" horizontalDpi="1200" verticalDpi="1200" r:id="rId1"/>
  <headerFooter>
    <oddHeader>&amp;C&amp;"-,Negrito"&amp;28ASSOCIAÇÃO DAS IGREJAS DA OBRA REGIONAL - REGIÃO 06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0.59999389629810485"/>
  </sheetPr>
  <dimension ref="A1:H28"/>
  <sheetViews>
    <sheetView showGridLines="0" workbookViewId="0">
      <selection activeCell="F7" sqref="F7:G7"/>
    </sheetView>
  </sheetViews>
  <sheetFormatPr defaultRowHeight="12.75" x14ac:dyDescent="0.2"/>
  <cols>
    <col min="1" max="1" width="33.42578125" style="12" customWidth="1"/>
    <col min="2" max="2" width="9.28515625" style="12" customWidth="1"/>
    <col min="3" max="3" width="8.85546875" style="12" customWidth="1"/>
    <col min="4" max="4" width="9.85546875" style="12" customWidth="1"/>
    <col min="5" max="5" width="2.140625" style="12" customWidth="1"/>
    <col min="6" max="6" width="8.7109375" style="12" customWidth="1"/>
    <col min="7" max="7" width="8.7109375" style="58" customWidth="1"/>
    <col min="8" max="245" width="9.140625" style="12"/>
    <col min="246" max="246" width="34.28515625" style="12" customWidth="1"/>
    <col min="247" max="254" width="10" style="12" bestFit="1" customWidth="1"/>
    <col min="255" max="255" width="10" style="12" customWidth="1"/>
    <col min="256" max="258" width="0" style="12" hidden="1" customWidth="1"/>
    <col min="259" max="259" width="2.140625" style="12" customWidth="1"/>
    <col min="260" max="260" width="11" style="12" bestFit="1" customWidth="1"/>
    <col min="261" max="261" width="3.85546875" style="12" customWidth="1"/>
    <col min="262" max="262" width="11.85546875" style="12" bestFit="1" customWidth="1"/>
    <col min="263" max="263" width="6.28515625" style="12" bestFit="1" customWidth="1"/>
    <col min="264" max="501" width="9.140625" style="12"/>
    <col min="502" max="502" width="34.28515625" style="12" customWidth="1"/>
    <col min="503" max="510" width="10" style="12" bestFit="1" customWidth="1"/>
    <col min="511" max="511" width="10" style="12" customWidth="1"/>
    <col min="512" max="514" width="0" style="12" hidden="1" customWidth="1"/>
    <col min="515" max="515" width="2.140625" style="12" customWidth="1"/>
    <col min="516" max="516" width="11" style="12" bestFit="1" customWidth="1"/>
    <col min="517" max="517" width="3.85546875" style="12" customWidth="1"/>
    <col min="518" max="518" width="11.85546875" style="12" bestFit="1" customWidth="1"/>
    <col min="519" max="519" width="6.28515625" style="12" bestFit="1" customWidth="1"/>
    <col min="520" max="757" width="9.140625" style="12"/>
    <col min="758" max="758" width="34.28515625" style="12" customWidth="1"/>
    <col min="759" max="766" width="10" style="12" bestFit="1" customWidth="1"/>
    <col min="767" max="767" width="10" style="12" customWidth="1"/>
    <col min="768" max="770" width="0" style="12" hidden="1" customWidth="1"/>
    <col min="771" max="771" width="2.140625" style="12" customWidth="1"/>
    <col min="772" max="772" width="11" style="12" bestFit="1" customWidth="1"/>
    <col min="773" max="773" width="3.85546875" style="12" customWidth="1"/>
    <col min="774" max="774" width="11.85546875" style="12" bestFit="1" customWidth="1"/>
    <col min="775" max="775" width="6.28515625" style="12" bestFit="1" customWidth="1"/>
    <col min="776" max="1013" width="9.140625" style="12"/>
    <col min="1014" max="1014" width="34.28515625" style="12" customWidth="1"/>
    <col min="1015" max="1022" width="10" style="12" bestFit="1" customWidth="1"/>
    <col min="1023" max="1023" width="10" style="12" customWidth="1"/>
    <col min="1024" max="1026" width="0" style="12" hidden="1" customWidth="1"/>
    <col min="1027" max="1027" width="2.140625" style="12" customWidth="1"/>
    <col min="1028" max="1028" width="11" style="12" bestFit="1" customWidth="1"/>
    <col min="1029" max="1029" width="3.85546875" style="12" customWidth="1"/>
    <col min="1030" max="1030" width="11.85546875" style="12" bestFit="1" customWidth="1"/>
    <col min="1031" max="1031" width="6.28515625" style="12" bestFit="1" customWidth="1"/>
    <col min="1032" max="1269" width="9.140625" style="12"/>
    <col min="1270" max="1270" width="34.28515625" style="12" customWidth="1"/>
    <col min="1271" max="1278" width="10" style="12" bestFit="1" customWidth="1"/>
    <col min="1279" max="1279" width="10" style="12" customWidth="1"/>
    <col min="1280" max="1282" width="0" style="12" hidden="1" customWidth="1"/>
    <col min="1283" max="1283" width="2.140625" style="12" customWidth="1"/>
    <col min="1284" max="1284" width="11" style="12" bestFit="1" customWidth="1"/>
    <col min="1285" max="1285" width="3.85546875" style="12" customWidth="1"/>
    <col min="1286" max="1286" width="11.85546875" style="12" bestFit="1" customWidth="1"/>
    <col min="1287" max="1287" width="6.28515625" style="12" bestFit="1" customWidth="1"/>
    <col min="1288" max="1525" width="9.140625" style="12"/>
    <col min="1526" max="1526" width="34.28515625" style="12" customWidth="1"/>
    <col min="1527" max="1534" width="10" style="12" bestFit="1" customWidth="1"/>
    <col min="1535" max="1535" width="10" style="12" customWidth="1"/>
    <col min="1536" max="1538" width="0" style="12" hidden="1" customWidth="1"/>
    <col min="1539" max="1539" width="2.140625" style="12" customWidth="1"/>
    <col min="1540" max="1540" width="11" style="12" bestFit="1" customWidth="1"/>
    <col min="1541" max="1541" width="3.85546875" style="12" customWidth="1"/>
    <col min="1542" max="1542" width="11.85546875" style="12" bestFit="1" customWidth="1"/>
    <col min="1543" max="1543" width="6.28515625" style="12" bestFit="1" customWidth="1"/>
    <col min="1544" max="1781" width="9.140625" style="12"/>
    <col min="1782" max="1782" width="34.28515625" style="12" customWidth="1"/>
    <col min="1783" max="1790" width="10" style="12" bestFit="1" customWidth="1"/>
    <col min="1791" max="1791" width="10" style="12" customWidth="1"/>
    <col min="1792" max="1794" width="0" style="12" hidden="1" customWidth="1"/>
    <col min="1795" max="1795" width="2.140625" style="12" customWidth="1"/>
    <col min="1796" max="1796" width="11" style="12" bestFit="1" customWidth="1"/>
    <col min="1797" max="1797" width="3.85546875" style="12" customWidth="1"/>
    <col min="1798" max="1798" width="11.85546875" style="12" bestFit="1" customWidth="1"/>
    <col min="1799" max="1799" width="6.28515625" style="12" bestFit="1" customWidth="1"/>
    <col min="1800" max="2037" width="9.140625" style="12"/>
    <col min="2038" max="2038" width="34.28515625" style="12" customWidth="1"/>
    <col min="2039" max="2046" width="10" style="12" bestFit="1" customWidth="1"/>
    <col min="2047" max="2047" width="10" style="12" customWidth="1"/>
    <col min="2048" max="2050" width="0" style="12" hidden="1" customWidth="1"/>
    <col min="2051" max="2051" width="2.140625" style="12" customWidth="1"/>
    <col min="2052" max="2052" width="11" style="12" bestFit="1" customWidth="1"/>
    <col min="2053" max="2053" width="3.85546875" style="12" customWidth="1"/>
    <col min="2054" max="2054" width="11.85546875" style="12" bestFit="1" customWidth="1"/>
    <col min="2055" max="2055" width="6.28515625" style="12" bestFit="1" customWidth="1"/>
    <col min="2056" max="2293" width="9.140625" style="12"/>
    <col min="2294" max="2294" width="34.28515625" style="12" customWidth="1"/>
    <col min="2295" max="2302" width="10" style="12" bestFit="1" customWidth="1"/>
    <col min="2303" max="2303" width="10" style="12" customWidth="1"/>
    <col min="2304" max="2306" width="0" style="12" hidden="1" customWidth="1"/>
    <col min="2307" max="2307" width="2.140625" style="12" customWidth="1"/>
    <col min="2308" max="2308" width="11" style="12" bestFit="1" customWidth="1"/>
    <col min="2309" max="2309" width="3.85546875" style="12" customWidth="1"/>
    <col min="2310" max="2310" width="11.85546875" style="12" bestFit="1" customWidth="1"/>
    <col min="2311" max="2311" width="6.28515625" style="12" bestFit="1" customWidth="1"/>
    <col min="2312" max="2549" width="9.140625" style="12"/>
    <col min="2550" max="2550" width="34.28515625" style="12" customWidth="1"/>
    <col min="2551" max="2558" width="10" style="12" bestFit="1" customWidth="1"/>
    <col min="2559" max="2559" width="10" style="12" customWidth="1"/>
    <col min="2560" max="2562" width="0" style="12" hidden="1" customWidth="1"/>
    <col min="2563" max="2563" width="2.140625" style="12" customWidth="1"/>
    <col min="2564" max="2564" width="11" style="12" bestFit="1" customWidth="1"/>
    <col min="2565" max="2565" width="3.85546875" style="12" customWidth="1"/>
    <col min="2566" max="2566" width="11.85546875" style="12" bestFit="1" customWidth="1"/>
    <col min="2567" max="2567" width="6.28515625" style="12" bestFit="1" customWidth="1"/>
    <col min="2568" max="2805" width="9.140625" style="12"/>
    <col min="2806" max="2806" width="34.28515625" style="12" customWidth="1"/>
    <col min="2807" max="2814" width="10" style="12" bestFit="1" customWidth="1"/>
    <col min="2815" max="2815" width="10" style="12" customWidth="1"/>
    <col min="2816" max="2818" width="0" style="12" hidden="1" customWidth="1"/>
    <col min="2819" max="2819" width="2.140625" style="12" customWidth="1"/>
    <col min="2820" max="2820" width="11" style="12" bestFit="1" customWidth="1"/>
    <col min="2821" max="2821" width="3.85546875" style="12" customWidth="1"/>
    <col min="2822" max="2822" width="11.85546875" style="12" bestFit="1" customWidth="1"/>
    <col min="2823" max="2823" width="6.28515625" style="12" bestFit="1" customWidth="1"/>
    <col min="2824" max="3061" width="9.140625" style="12"/>
    <col min="3062" max="3062" width="34.28515625" style="12" customWidth="1"/>
    <col min="3063" max="3070" width="10" style="12" bestFit="1" customWidth="1"/>
    <col min="3071" max="3071" width="10" style="12" customWidth="1"/>
    <col min="3072" max="3074" width="0" style="12" hidden="1" customWidth="1"/>
    <col min="3075" max="3075" width="2.140625" style="12" customWidth="1"/>
    <col min="3076" max="3076" width="11" style="12" bestFit="1" customWidth="1"/>
    <col min="3077" max="3077" width="3.85546875" style="12" customWidth="1"/>
    <col min="3078" max="3078" width="11.85546875" style="12" bestFit="1" customWidth="1"/>
    <col min="3079" max="3079" width="6.28515625" style="12" bestFit="1" customWidth="1"/>
    <col min="3080" max="3317" width="9.140625" style="12"/>
    <col min="3318" max="3318" width="34.28515625" style="12" customWidth="1"/>
    <col min="3319" max="3326" width="10" style="12" bestFit="1" customWidth="1"/>
    <col min="3327" max="3327" width="10" style="12" customWidth="1"/>
    <col min="3328" max="3330" width="0" style="12" hidden="1" customWidth="1"/>
    <col min="3331" max="3331" width="2.140625" style="12" customWidth="1"/>
    <col min="3332" max="3332" width="11" style="12" bestFit="1" customWidth="1"/>
    <col min="3333" max="3333" width="3.85546875" style="12" customWidth="1"/>
    <col min="3334" max="3334" width="11.85546875" style="12" bestFit="1" customWidth="1"/>
    <col min="3335" max="3335" width="6.28515625" style="12" bestFit="1" customWidth="1"/>
    <col min="3336" max="3573" width="9.140625" style="12"/>
    <col min="3574" max="3574" width="34.28515625" style="12" customWidth="1"/>
    <col min="3575" max="3582" width="10" style="12" bestFit="1" customWidth="1"/>
    <col min="3583" max="3583" width="10" style="12" customWidth="1"/>
    <col min="3584" max="3586" width="0" style="12" hidden="1" customWidth="1"/>
    <col min="3587" max="3587" width="2.140625" style="12" customWidth="1"/>
    <col min="3588" max="3588" width="11" style="12" bestFit="1" customWidth="1"/>
    <col min="3589" max="3589" width="3.85546875" style="12" customWidth="1"/>
    <col min="3590" max="3590" width="11.85546875" style="12" bestFit="1" customWidth="1"/>
    <col min="3591" max="3591" width="6.28515625" style="12" bestFit="1" customWidth="1"/>
    <col min="3592" max="3829" width="9.140625" style="12"/>
    <col min="3830" max="3830" width="34.28515625" style="12" customWidth="1"/>
    <col min="3831" max="3838" width="10" style="12" bestFit="1" customWidth="1"/>
    <col min="3839" max="3839" width="10" style="12" customWidth="1"/>
    <col min="3840" max="3842" width="0" style="12" hidden="1" customWidth="1"/>
    <col min="3843" max="3843" width="2.140625" style="12" customWidth="1"/>
    <col min="3844" max="3844" width="11" style="12" bestFit="1" customWidth="1"/>
    <col min="3845" max="3845" width="3.85546875" style="12" customWidth="1"/>
    <col min="3846" max="3846" width="11.85546875" style="12" bestFit="1" customWidth="1"/>
    <col min="3847" max="3847" width="6.28515625" style="12" bestFit="1" customWidth="1"/>
    <col min="3848" max="4085" width="9.140625" style="12"/>
    <col min="4086" max="4086" width="34.28515625" style="12" customWidth="1"/>
    <col min="4087" max="4094" width="10" style="12" bestFit="1" customWidth="1"/>
    <col min="4095" max="4095" width="10" style="12" customWidth="1"/>
    <col min="4096" max="4098" width="0" style="12" hidden="1" customWidth="1"/>
    <col min="4099" max="4099" width="2.140625" style="12" customWidth="1"/>
    <col min="4100" max="4100" width="11" style="12" bestFit="1" customWidth="1"/>
    <col min="4101" max="4101" width="3.85546875" style="12" customWidth="1"/>
    <col min="4102" max="4102" width="11.85546875" style="12" bestFit="1" customWidth="1"/>
    <col min="4103" max="4103" width="6.28515625" style="12" bestFit="1" customWidth="1"/>
    <col min="4104" max="4341" width="9.140625" style="12"/>
    <col min="4342" max="4342" width="34.28515625" style="12" customWidth="1"/>
    <col min="4343" max="4350" width="10" style="12" bestFit="1" customWidth="1"/>
    <col min="4351" max="4351" width="10" style="12" customWidth="1"/>
    <col min="4352" max="4354" width="0" style="12" hidden="1" customWidth="1"/>
    <col min="4355" max="4355" width="2.140625" style="12" customWidth="1"/>
    <col min="4356" max="4356" width="11" style="12" bestFit="1" customWidth="1"/>
    <col min="4357" max="4357" width="3.85546875" style="12" customWidth="1"/>
    <col min="4358" max="4358" width="11.85546875" style="12" bestFit="1" customWidth="1"/>
    <col min="4359" max="4359" width="6.28515625" style="12" bestFit="1" customWidth="1"/>
    <col min="4360" max="4597" width="9.140625" style="12"/>
    <col min="4598" max="4598" width="34.28515625" style="12" customWidth="1"/>
    <col min="4599" max="4606" width="10" style="12" bestFit="1" customWidth="1"/>
    <col min="4607" max="4607" width="10" style="12" customWidth="1"/>
    <col min="4608" max="4610" width="0" style="12" hidden="1" customWidth="1"/>
    <col min="4611" max="4611" width="2.140625" style="12" customWidth="1"/>
    <col min="4612" max="4612" width="11" style="12" bestFit="1" customWidth="1"/>
    <col min="4613" max="4613" width="3.85546875" style="12" customWidth="1"/>
    <col min="4614" max="4614" width="11.85546875" style="12" bestFit="1" customWidth="1"/>
    <col min="4615" max="4615" width="6.28515625" style="12" bestFit="1" customWidth="1"/>
    <col min="4616" max="4853" width="9.140625" style="12"/>
    <col min="4854" max="4854" width="34.28515625" style="12" customWidth="1"/>
    <col min="4855" max="4862" width="10" style="12" bestFit="1" customWidth="1"/>
    <col min="4863" max="4863" width="10" style="12" customWidth="1"/>
    <col min="4864" max="4866" width="0" style="12" hidden="1" customWidth="1"/>
    <col min="4867" max="4867" width="2.140625" style="12" customWidth="1"/>
    <col min="4868" max="4868" width="11" style="12" bestFit="1" customWidth="1"/>
    <col min="4869" max="4869" width="3.85546875" style="12" customWidth="1"/>
    <col min="4870" max="4870" width="11.85546875" style="12" bestFit="1" customWidth="1"/>
    <col min="4871" max="4871" width="6.28515625" style="12" bestFit="1" customWidth="1"/>
    <col min="4872" max="5109" width="9.140625" style="12"/>
    <col min="5110" max="5110" width="34.28515625" style="12" customWidth="1"/>
    <col min="5111" max="5118" width="10" style="12" bestFit="1" customWidth="1"/>
    <col min="5119" max="5119" width="10" style="12" customWidth="1"/>
    <col min="5120" max="5122" width="0" style="12" hidden="1" customWidth="1"/>
    <col min="5123" max="5123" width="2.140625" style="12" customWidth="1"/>
    <col min="5124" max="5124" width="11" style="12" bestFit="1" customWidth="1"/>
    <col min="5125" max="5125" width="3.85546875" style="12" customWidth="1"/>
    <col min="5126" max="5126" width="11.85546875" style="12" bestFit="1" customWidth="1"/>
    <col min="5127" max="5127" width="6.28515625" style="12" bestFit="1" customWidth="1"/>
    <col min="5128" max="5365" width="9.140625" style="12"/>
    <col min="5366" max="5366" width="34.28515625" style="12" customWidth="1"/>
    <col min="5367" max="5374" width="10" style="12" bestFit="1" customWidth="1"/>
    <col min="5375" max="5375" width="10" style="12" customWidth="1"/>
    <col min="5376" max="5378" width="0" style="12" hidden="1" customWidth="1"/>
    <col min="5379" max="5379" width="2.140625" style="12" customWidth="1"/>
    <col min="5380" max="5380" width="11" style="12" bestFit="1" customWidth="1"/>
    <col min="5381" max="5381" width="3.85546875" style="12" customWidth="1"/>
    <col min="5382" max="5382" width="11.85546875" style="12" bestFit="1" customWidth="1"/>
    <col min="5383" max="5383" width="6.28515625" style="12" bestFit="1" customWidth="1"/>
    <col min="5384" max="5621" width="9.140625" style="12"/>
    <col min="5622" max="5622" width="34.28515625" style="12" customWidth="1"/>
    <col min="5623" max="5630" width="10" style="12" bestFit="1" customWidth="1"/>
    <col min="5631" max="5631" width="10" style="12" customWidth="1"/>
    <col min="5632" max="5634" width="0" style="12" hidden="1" customWidth="1"/>
    <col min="5635" max="5635" width="2.140625" style="12" customWidth="1"/>
    <col min="5636" max="5636" width="11" style="12" bestFit="1" customWidth="1"/>
    <col min="5637" max="5637" width="3.85546875" style="12" customWidth="1"/>
    <col min="5638" max="5638" width="11.85546875" style="12" bestFit="1" customWidth="1"/>
    <col min="5639" max="5639" width="6.28515625" style="12" bestFit="1" customWidth="1"/>
    <col min="5640" max="5877" width="9.140625" style="12"/>
    <col min="5878" max="5878" width="34.28515625" style="12" customWidth="1"/>
    <col min="5879" max="5886" width="10" style="12" bestFit="1" customWidth="1"/>
    <col min="5887" max="5887" width="10" style="12" customWidth="1"/>
    <col min="5888" max="5890" width="0" style="12" hidden="1" customWidth="1"/>
    <col min="5891" max="5891" width="2.140625" style="12" customWidth="1"/>
    <col min="5892" max="5892" width="11" style="12" bestFit="1" customWidth="1"/>
    <col min="5893" max="5893" width="3.85546875" style="12" customWidth="1"/>
    <col min="5894" max="5894" width="11.85546875" style="12" bestFit="1" customWidth="1"/>
    <col min="5895" max="5895" width="6.28515625" style="12" bestFit="1" customWidth="1"/>
    <col min="5896" max="6133" width="9.140625" style="12"/>
    <col min="6134" max="6134" width="34.28515625" style="12" customWidth="1"/>
    <col min="6135" max="6142" width="10" style="12" bestFit="1" customWidth="1"/>
    <col min="6143" max="6143" width="10" style="12" customWidth="1"/>
    <col min="6144" max="6146" width="0" style="12" hidden="1" customWidth="1"/>
    <col min="6147" max="6147" width="2.140625" style="12" customWidth="1"/>
    <col min="6148" max="6148" width="11" style="12" bestFit="1" customWidth="1"/>
    <col min="6149" max="6149" width="3.85546875" style="12" customWidth="1"/>
    <col min="6150" max="6150" width="11.85546875" style="12" bestFit="1" customWidth="1"/>
    <col min="6151" max="6151" width="6.28515625" style="12" bestFit="1" customWidth="1"/>
    <col min="6152" max="6389" width="9.140625" style="12"/>
    <col min="6390" max="6390" width="34.28515625" style="12" customWidth="1"/>
    <col min="6391" max="6398" width="10" style="12" bestFit="1" customWidth="1"/>
    <col min="6399" max="6399" width="10" style="12" customWidth="1"/>
    <col min="6400" max="6402" width="0" style="12" hidden="1" customWidth="1"/>
    <col min="6403" max="6403" width="2.140625" style="12" customWidth="1"/>
    <col min="6404" max="6404" width="11" style="12" bestFit="1" customWidth="1"/>
    <col min="6405" max="6405" width="3.85546875" style="12" customWidth="1"/>
    <col min="6406" max="6406" width="11.85546875" style="12" bestFit="1" customWidth="1"/>
    <col min="6407" max="6407" width="6.28515625" style="12" bestFit="1" customWidth="1"/>
    <col min="6408" max="6645" width="9.140625" style="12"/>
    <col min="6646" max="6646" width="34.28515625" style="12" customWidth="1"/>
    <col min="6647" max="6654" width="10" style="12" bestFit="1" customWidth="1"/>
    <col min="6655" max="6655" width="10" style="12" customWidth="1"/>
    <col min="6656" max="6658" width="0" style="12" hidden="1" customWidth="1"/>
    <col min="6659" max="6659" width="2.140625" style="12" customWidth="1"/>
    <col min="6660" max="6660" width="11" style="12" bestFit="1" customWidth="1"/>
    <col min="6661" max="6661" width="3.85546875" style="12" customWidth="1"/>
    <col min="6662" max="6662" width="11.85546875" style="12" bestFit="1" customWidth="1"/>
    <col min="6663" max="6663" width="6.28515625" style="12" bestFit="1" customWidth="1"/>
    <col min="6664" max="6901" width="9.140625" style="12"/>
    <col min="6902" max="6902" width="34.28515625" style="12" customWidth="1"/>
    <col min="6903" max="6910" width="10" style="12" bestFit="1" customWidth="1"/>
    <col min="6911" max="6911" width="10" style="12" customWidth="1"/>
    <col min="6912" max="6914" width="0" style="12" hidden="1" customWidth="1"/>
    <col min="6915" max="6915" width="2.140625" style="12" customWidth="1"/>
    <col min="6916" max="6916" width="11" style="12" bestFit="1" customWidth="1"/>
    <col min="6917" max="6917" width="3.85546875" style="12" customWidth="1"/>
    <col min="6918" max="6918" width="11.85546875" style="12" bestFit="1" customWidth="1"/>
    <col min="6919" max="6919" width="6.28515625" style="12" bestFit="1" customWidth="1"/>
    <col min="6920" max="7157" width="9.140625" style="12"/>
    <col min="7158" max="7158" width="34.28515625" style="12" customWidth="1"/>
    <col min="7159" max="7166" width="10" style="12" bestFit="1" customWidth="1"/>
    <col min="7167" max="7167" width="10" style="12" customWidth="1"/>
    <col min="7168" max="7170" width="0" style="12" hidden="1" customWidth="1"/>
    <col min="7171" max="7171" width="2.140625" style="12" customWidth="1"/>
    <col min="7172" max="7172" width="11" style="12" bestFit="1" customWidth="1"/>
    <col min="7173" max="7173" width="3.85546875" style="12" customWidth="1"/>
    <col min="7174" max="7174" width="11.85546875" style="12" bestFit="1" customWidth="1"/>
    <col min="7175" max="7175" width="6.28515625" style="12" bestFit="1" customWidth="1"/>
    <col min="7176" max="7413" width="9.140625" style="12"/>
    <col min="7414" max="7414" width="34.28515625" style="12" customWidth="1"/>
    <col min="7415" max="7422" width="10" style="12" bestFit="1" customWidth="1"/>
    <col min="7423" max="7423" width="10" style="12" customWidth="1"/>
    <col min="7424" max="7426" width="0" style="12" hidden="1" customWidth="1"/>
    <col min="7427" max="7427" width="2.140625" style="12" customWidth="1"/>
    <col min="7428" max="7428" width="11" style="12" bestFit="1" customWidth="1"/>
    <col min="7429" max="7429" width="3.85546875" style="12" customWidth="1"/>
    <col min="7430" max="7430" width="11.85546875" style="12" bestFit="1" customWidth="1"/>
    <col min="7431" max="7431" width="6.28515625" style="12" bestFit="1" customWidth="1"/>
    <col min="7432" max="7669" width="9.140625" style="12"/>
    <col min="7670" max="7670" width="34.28515625" style="12" customWidth="1"/>
    <col min="7671" max="7678" width="10" style="12" bestFit="1" customWidth="1"/>
    <col min="7679" max="7679" width="10" style="12" customWidth="1"/>
    <col min="7680" max="7682" width="0" style="12" hidden="1" customWidth="1"/>
    <col min="7683" max="7683" width="2.140625" style="12" customWidth="1"/>
    <col min="7684" max="7684" width="11" style="12" bestFit="1" customWidth="1"/>
    <col min="7685" max="7685" width="3.85546875" style="12" customWidth="1"/>
    <col min="7686" max="7686" width="11.85546875" style="12" bestFit="1" customWidth="1"/>
    <col min="7687" max="7687" width="6.28515625" style="12" bestFit="1" customWidth="1"/>
    <col min="7688" max="7925" width="9.140625" style="12"/>
    <col min="7926" max="7926" width="34.28515625" style="12" customWidth="1"/>
    <col min="7927" max="7934" width="10" style="12" bestFit="1" customWidth="1"/>
    <col min="7935" max="7935" width="10" style="12" customWidth="1"/>
    <col min="7936" max="7938" width="0" style="12" hidden="1" customWidth="1"/>
    <col min="7939" max="7939" width="2.140625" style="12" customWidth="1"/>
    <col min="7940" max="7940" width="11" style="12" bestFit="1" customWidth="1"/>
    <col min="7941" max="7941" width="3.85546875" style="12" customWidth="1"/>
    <col min="7942" max="7942" width="11.85546875" style="12" bestFit="1" customWidth="1"/>
    <col min="7943" max="7943" width="6.28515625" style="12" bestFit="1" customWidth="1"/>
    <col min="7944" max="8181" width="9.140625" style="12"/>
    <col min="8182" max="8182" width="34.28515625" style="12" customWidth="1"/>
    <col min="8183" max="8190" width="10" style="12" bestFit="1" customWidth="1"/>
    <col min="8191" max="8191" width="10" style="12" customWidth="1"/>
    <col min="8192" max="8194" width="0" style="12" hidden="1" customWidth="1"/>
    <col min="8195" max="8195" width="2.140625" style="12" customWidth="1"/>
    <col min="8196" max="8196" width="11" style="12" bestFit="1" customWidth="1"/>
    <col min="8197" max="8197" width="3.85546875" style="12" customWidth="1"/>
    <col min="8198" max="8198" width="11.85546875" style="12" bestFit="1" customWidth="1"/>
    <col min="8199" max="8199" width="6.28515625" style="12" bestFit="1" customWidth="1"/>
    <col min="8200" max="8437" width="9.140625" style="12"/>
    <col min="8438" max="8438" width="34.28515625" style="12" customWidth="1"/>
    <col min="8439" max="8446" width="10" style="12" bestFit="1" customWidth="1"/>
    <col min="8447" max="8447" width="10" style="12" customWidth="1"/>
    <col min="8448" max="8450" width="0" style="12" hidden="1" customWidth="1"/>
    <col min="8451" max="8451" width="2.140625" style="12" customWidth="1"/>
    <col min="8452" max="8452" width="11" style="12" bestFit="1" customWidth="1"/>
    <col min="8453" max="8453" width="3.85546875" style="12" customWidth="1"/>
    <col min="8454" max="8454" width="11.85546875" style="12" bestFit="1" customWidth="1"/>
    <col min="8455" max="8455" width="6.28515625" style="12" bestFit="1" customWidth="1"/>
    <col min="8456" max="8693" width="9.140625" style="12"/>
    <col min="8694" max="8694" width="34.28515625" style="12" customWidth="1"/>
    <col min="8695" max="8702" width="10" style="12" bestFit="1" customWidth="1"/>
    <col min="8703" max="8703" width="10" style="12" customWidth="1"/>
    <col min="8704" max="8706" width="0" style="12" hidden="1" customWidth="1"/>
    <col min="8707" max="8707" width="2.140625" style="12" customWidth="1"/>
    <col min="8708" max="8708" width="11" style="12" bestFit="1" customWidth="1"/>
    <col min="8709" max="8709" width="3.85546875" style="12" customWidth="1"/>
    <col min="8710" max="8710" width="11.85546875" style="12" bestFit="1" customWidth="1"/>
    <col min="8711" max="8711" width="6.28515625" style="12" bestFit="1" customWidth="1"/>
    <col min="8712" max="8949" width="9.140625" style="12"/>
    <col min="8950" max="8950" width="34.28515625" style="12" customWidth="1"/>
    <col min="8951" max="8958" width="10" style="12" bestFit="1" customWidth="1"/>
    <col min="8959" max="8959" width="10" style="12" customWidth="1"/>
    <col min="8960" max="8962" width="0" style="12" hidden="1" customWidth="1"/>
    <col min="8963" max="8963" width="2.140625" style="12" customWidth="1"/>
    <col min="8964" max="8964" width="11" style="12" bestFit="1" customWidth="1"/>
    <col min="8965" max="8965" width="3.85546875" style="12" customWidth="1"/>
    <col min="8966" max="8966" width="11.85546875" style="12" bestFit="1" customWidth="1"/>
    <col min="8967" max="8967" width="6.28515625" style="12" bestFit="1" customWidth="1"/>
    <col min="8968" max="9205" width="9.140625" style="12"/>
    <col min="9206" max="9206" width="34.28515625" style="12" customWidth="1"/>
    <col min="9207" max="9214" width="10" style="12" bestFit="1" customWidth="1"/>
    <col min="9215" max="9215" width="10" style="12" customWidth="1"/>
    <col min="9216" max="9218" width="0" style="12" hidden="1" customWidth="1"/>
    <col min="9219" max="9219" width="2.140625" style="12" customWidth="1"/>
    <col min="9220" max="9220" width="11" style="12" bestFit="1" customWidth="1"/>
    <col min="9221" max="9221" width="3.85546875" style="12" customWidth="1"/>
    <col min="9222" max="9222" width="11.85546875" style="12" bestFit="1" customWidth="1"/>
    <col min="9223" max="9223" width="6.28515625" style="12" bestFit="1" customWidth="1"/>
    <col min="9224" max="9461" width="9.140625" style="12"/>
    <col min="9462" max="9462" width="34.28515625" style="12" customWidth="1"/>
    <col min="9463" max="9470" width="10" style="12" bestFit="1" customWidth="1"/>
    <col min="9471" max="9471" width="10" style="12" customWidth="1"/>
    <col min="9472" max="9474" width="0" style="12" hidden="1" customWidth="1"/>
    <col min="9475" max="9475" width="2.140625" style="12" customWidth="1"/>
    <col min="9476" max="9476" width="11" style="12" bestFit="1" customWidth="1"/>
    <col min="9477" max="9477" width="3.85546875" style="12" customWidth="1"/>
    <col min="9478" max="9478" width="11.85546875" style="12" bestFit="1" customWidth="1"/>
    <col min="9479" max="9479" width="6.28515625" style="12" bestFit="1" customWidth="1"/>
    <col min="9480" max="9717" width="9.140625" style="12"/>
    <col min="9718" max="9718" width="34.28515625" style="12" customWidth="1"/>
    <col min="9719" max="9726" width="10" style="12" bestFit="1" customWidth="1"/>
    <col min="9727" max="9727" width="10" style="12" customWidth="1"/>
    <col min="9728" max="9730" width="0" style="12" hidden="1" customWidth="1"/>
    <col min="9731" max="9731" width="2.140625" style="12" customWidth="1"/>
    <col min="9732" max="9732" width="11" style="12" bestFit="1" customWidth="1"/>
    <col min="9733" max="9733" width="3.85546875" style="12" customWidth="1"/>
    <col min="9734" max="9734" width="11.85546875" style="12" bestFit="1" customWidth="1"/>
    <col min="9735" max="9735" width="6.28515625" style="12" bestFit="1" customWidth="1"/>
    <col min="9736" max="9973" width="9.140625" style="12"/>
    <col min="9974" max="9974" width="34.28515625" style="12" customWidth="1"/>
    <col min="9975" max="9982" width="10" style="12" bestFit="1" customWidth="1"/>
    <col min="9983" max="9983" width="10" style="12" customWidth="1"/>
    <col min="9984" max="9986" width="0" style="12" hidden="1" customWidth="1"/>
    <col min="9987" max="9987" width="2.140625" style="12" customWidth="1"/>
    <col min="9988" max="9988" width="11" style="12" bestFit="1" customWidth="1"/>
    <col min="9989" max="9989" width="3.85546875" style="12" customWidth="1"/>
    <col min="9990" max="9990" width="11.85546875" style="12" bestFit="1" customWidth="1"/>
    <col min="9991" max="9991" width="6.28515625" style="12" bestFit="1" customWidth="1"/>
    <col min="9992" max="10229" width="9.140625" style="12"/>
    <col min="10230" max="10230" width="34.28515625" style="12" customWidth="1"/>
    <col min="10231" max="10238" width="10" style="12" bestFit="1" customWidth="1"/>
    <col min="10239" max="10239" width="10" style="12" customWidth="1"/>
    <col min="10240" max="10242" width="0" style="12" hidden="1" customWidth="1"/>
    <col min="10243" max="10243" width="2.140625" style="12" customWidth="1"/>
    <col min="10244" max="10244" width="11" style="12" bestFit="1" customWidth="1"/>
    <col min="10245" max="10245" width="3.85546875" style="12" customWidth="1"/>
    <col min="10246" max="10246" width="11.85546875" style="12" bestFit="1" customWidth="1"/>
    <col min="10247" max="10247" width="6.28515625" style="12" bestFit="1" customWidth="1"/>
    <col min="10248" max="10485" width="9.140625" style="12"/>
    <col min="10486" max="10486" width="34.28515625" style="12" customWidth="1"/>
    <col min="10487" max="10494" width="10" style="12" bestFit="1" customWidth="1"/>
    <col min="10495" max="10495" width="10" style="12" customWidth="1"/>
    <col min="10496" max="10498" width="0" style="12" hidden="1" customWidth="1"/>
    <col min="10499" max="10499" width="2.140625" style="12" customWidth="1"/>
    <col min="10500" max="10500" width="11" style="12" bestFit="1" customWidth="1"/>
    <col min="10501" max="10501" width="3.85546875" style="12" customWidth="1"/>
    <col min="10502" max="10502" width="11.85546875" style="12" bestFit="1" customWidth="1"/>
    <col min="10503" max="10503" width="6.28515625" style="12" bestFit="1" customWidth="1"/>
    <col min="10504" max="10741" width="9.140625" style="12"/>
    <col min="10742" max="10742" width="34.28515625" style="12" customWidth="1"/>
    <col min="10743" max="10750" width="10" style="12" bestFit="1" customWidth="1"/>
    <col min="10751" max="10751" width="10" style="12" customWidth="1"/>
    <col min="10752" max="10754" width="0" style="12" hidden="1" customWidth="1"/>
    <col min="10755" max="10755" width="2.140625" style="12" customWidth="1"/>
    <col min="10756" max="10756" width="11" style="12" bestFit="1" customWidth="1"/>
    <col min="10757" max="10757" width="3.85546875" style="12" customWidth="1"/>
    <col min="10758" max="10758" width="11.85546875" style="12" bestFit="1" customWidth="1"/>
    <col min="10759" max="10759" width="6.28515625" style="12" bestFit="1" customWidth="1"/>
    <col min="10760" max="10997" width="9.140625" style="12"/>
    <col min="10998" max="10998" width="34.28515625" style="12" customWidth="1"/>
    <col min="10999" max="11006" width="10" style="12" bestFit="1" customWidth="1"/>
    <col min="11007" max="11007" width="10" style="12" customWidth="1"/>
    <col min="11008" max="11010" width="0" style="12" hidden="1" customWidth="1"/>
    <col min="11011" max="11011" width="2.140625" style="12" customWidth="1"/>
    <col min="11012" max="11012" width="11" style="12" bestFit="1" customWidth="1"/>
    <col min="11013" max="11013" width="3.85546875" style="12" customWidth="1"/>
    <col min="11014" max="11014" width="11.85546875" style="12" bestFit="1" customWidth="1"/>
    <col min="11015" max="11015" width="6.28515625" style="12" bestFit="1" customWidth="1"/>
    <col min="11016" max="11253" width="9.140625" style="12"/>
    <col min="11254" max="11254" width="34.28515625" style="12" customWidth="1"/>
    <col min="11255" max="11262" width="10" style="12" bestFit="1" customWidth="1"/>
    <col min="11263" max="11263" width="10" style="12" customWidth="1"/>
    <col min="11264" max="11266" width="0" style="12" hidden="1" customWidth="1"/>
    <col min="11267" max="11267" width="2.140625" style="12" customWidth="1"/>
    <col min="11268" max="11268" width="11" style="12" bestFit="1" customWidth="1"/>
    <col min="11269" max="11269" width="3.85546875" style="12" customWidth="1"/>
    <col min="11270" max="11270" width="11.85546875" style="12" bestFit="1" customWidth="1"/>
    <col min="11271" max="11271" width="6.28515625" style="12" bestFit="1" customWidth="1"/>
    <col min="11272" max="11509" width="9.140625" style="12"/>
    <col min="11510" max="11510" width="34.28515625" style="12" customWidth="1"/>
    <col min="11511" max="11518" width="10" style="12" bestFit="1" customWidth="1"/>
    <col min="11519" max="11519" width="10" style="12" customWidth="1"/>
    <col min="11520" max="11522" width="0" style="12" hidden="1" customWidth="1"/>
    <col min="11523" max="11523" width="2.140625" style="12" customWidth="1"/>
    <col min="11524" max="11524" width="11" style="12" bestFit="1" customWidth="1"/>
    <col min="11525" max="11525" width="3.85546875" style="12" customWidth="1"/>
    <col min="11526" max="11526" width="11.85546875" style="12" bestFit="1" customWidth="1"/>
    <col min="11527" max="11527" width="6.28515625" style="12" bestFit="1" customWidth="1"/>
    <col min="11528" max="11765" width="9.140625" style="12"/>
    <col min="11766" max="11766" width="34.28515625" style="12" customWidth="1"/>
    <col min="11767" max="11774" width="10" style="12" bestFit="1" customWidth="1"/>
    <col min="11775" max="11775" width="10" style="12" customWidth="1"/>
    <col min="11776" max="11778" width="0" style="12" hidden="1" customWidth="1"/>
    <col min="11779" max="11779" width="2.140625" style="12" customWidth="1"/>
    <col min="11780" max="11780" width="11" style="12" bestFit="1" customWidth="1"/>
    <col min="11781" max="11781" width="3.85546875" style="12" customWidth="1"/>
    <col min="11782" max="11782" width="11.85546875" style="12" bestFit="1" customWidth="1"/>
    <col min="11783" max="11783" width="6.28515625" style="12" bestFit="1" customWidth="1"/>
    <col min="11784" max="12021" width="9.140625" style="12"/>
    <col min="12022" max="12022" width="34.28515625" style="12" customWidth="1"/>
    <col min="12023" max="12030" width="10" style="12" bestFit="1" customWidth="1"/>
    <col min="12031" max="12031" width="10" style="12" customWidth="1"/>
    <col min="12032" max="12034" width="0" style="12" hidden="1" customWidth="1"/>
    <col min="12035" max="12035" width="2.140625" style="12" customWidth="1"/>
    <col min="12036" max="12036" width="11" style="12" bestFit="1" customWidth="1"/>
    <col min="12037" max="12037" width="3.85546875" style="12" customWidth="1"/>
    <col min="12038" max="12038" width="11.85546875" style="12" bestFit="1" customWidth="1"/>
    <col min="12039" max="12039" width="6.28515625" style="12" bestFit="1" customWidth="1"/>
    <col min="12040" max="12277" width="9.140625" style="12"/>
    <col min="12278" max="12278" width="34.28515625" style="12" customWidth="1"/>
    <col min="12279" max="12286" width="10" style="12" bestFit="1" customWidth="1"/>
    <col min="12287" max="12287" width="10" style="12" customWidth="1"/>
    <col min="12288" max="12290" width="0" style="12" hidden="1" customWidth="1"/>
    <col min="12291" max="12291" width="2.140625" style="12" customWidth="1"/>
    <col min="12292" max="12292" width="11" style="12" bestFit="1" customWidth="1"/>
    <col min="12293" max="12293" width="3.85546875" style="12" customWidth="1"/>
    <col min="12294" max="12294" width="11.85546875" style="12" bestFit="1" customWidth="1"/>
    <col min="12295" max="12295" width="6.28515625" style="12" bestFit="1" customWidth="1"/>
    <col min="12296" max="12533" width="9.140625" style="12"/>
    <col min="12534" max="12534" width="34.28515625" style="12" customWidth="1"/>
    <col min="12535" max="12542" width="10" style="12" bestFit="1" customWidth="1"/>
    <col min="12543" max="12543" width="10" style="12" customWidth="1"/>
    <col min="12544" max="12546" width="0" style="12" hidden="1" customWidth="1"/>
    <col min="12547" max="12547" width="2.140625" style="12" customWidth="1"/>
    <col min="12548" max="12548" width="11" style="12" bestFit="1" customWidth="1"/>
    <col min="12549" max="12549" width="3.85546875" style="12" customWidth="1"/>
    <col min="12550" max="12550" width="11.85546875" style="12" bestFit="1" customWidth="1"/>
    <col min="12551" max="12551" width="6.28515625" style="12" bestFit="1" customWidth="1"/>
    <col min="12552" max="12789" width="9.140625" style="12"/>
    <col min="12790" max="12790" width="34.28515625" style="12" customWidth="1"/>
    <col min="12791" max="12798" width="10" style="12" bestFit="1" customWidth="1"/>
    <col min="12799" max="12799" width="10" style="12" customWidth="1"/>
    <col min="12800" max="12802" width="0" style="12" hidden="1" customWidth="1"/>
    <col min="12803" max="12803" width="2.140625" style="12" customWidth="1"/>
    <col min="12804" max="12804" width="11" style="12" bestFit="1" customWidth="1"/>
    <col min="12805" max="12805" width="3.85546875" style="12" customWidth="1"/>
    <col min="12806" max="12806" width="11.85546875" style="12" bestFit="1" customWidth="1"/>
    <col min="12807" max="12807" width="6.28515625" style="12" bestFit="1" customWidth="1"/>
    <col min="12808" max="13045" width="9.140625" style="12"/>
    <col min="13046" max="13046" width="34.28515625" style="12" customWidth="1"/>
    <col min="13047" max="13054" width="10" style="12" bestFit="1" customWidth="1"/>
    <col min="13055" max="13055" width="10" style="12" customWidth="1"/>
    <col min="13056" max="13058" width="0" style="12" hidden="1" customWidth="1"/>
    <col min="13059" max="13059" width="2.140625" style="12" customWidth="1"/>
    <col min="13060" max="13060" width="11" style="12" bestFit="1" customWidth="1"/>
    <col min="13061" max="13061" width="3.85546875" style="12" customWidth="1"/>
    <col min="13062" max="13062" width="11.85546875" style="12" bestFit="1" customWidth="1"/>
    <col min="13063" max="13063" width="6.28515625" style="12" bestFit="1" customWidth="1"/>
    <col min="13064" max="13301" width="9.140625" style="12"/>
    <col min="13302" max="13302" width="34.28515625" style="12" customWidth="1"/>
    <col min="13303" max="13310" width="10" style="12" bestFit="1" customWidth="1"/>
    <col min="13311" max="13311" width="10" style="12" customWidth="1"/>
    <col min="13312" max="13314" width="0" style="12" hidden="1" customWidth="1"/>
    <col min="13315" max="13315" width="2.140625" style="12" customWidth="1"/>
    <col min="13316" max="13316" width="11" style="12" bestFit="1" customWidth="1"/>
    <col min="13317" max="13317" width="3.85546875" style="12" customWidth="1"/>
    <col min="13318" max="13318" width="11.85546875" style="12" bestFit="1" customWidth="1"/>
    <col min="13319" max="13319" width="6.28515625" style="12" bestFit="1" customWidth="1"/>
    <col min="13320" max="13557" width="9.140625" style="12"/>
    <col min="13558" max="13558" width="34.28515625" style="12" customWidth="1"/>
    <col min="13559" max="13566" width="10" style="12" bestFit="1" customWidth="1"/>
    <col min="13567" max="13567" width="10" style="12" customWidth="1"/>
    <col min="13568" max="13570" width="0" style="12" hidden="1" customWidth="1"/>
    <col min="13571" max="13571" width="2.140625" style="12" customWidth="1"/>
    <col min="13572" max="13572" width="11" style="12" bestFit="1" customWidth="1"/>
    <col min="13573" max="13573" width="3.85546875" style="12" customWidth="1"/>
    <col min="13574" max="13574" width="11.85546875" style="12" bestFit="1" customWidth="1"/>
    <col min="13575" max="13575" width="6.28515625" style="12" bestFit="1" customWidth="1"/>
    <col min="13576" max="13813" width="9.140625" style="12"/>
    <col min="13814" max="13814" width="34.28515625" style="12" customWidth="1"/>
    <col min="13815" max="13822" width="10" style="12" bestFit="1" customWidth="1"/>
    <col min="13823" max="13823" width="10" style="12" customWidth="1"/>
    <col min="13824" max="13826" width="0" style="12" hidden="1" customWidth="1"/>
    <col min="13827" max="13827" width="2.140625" style="12" customWidth="1"/>
    <col min="13828" max="13828" width="11" style="12" bestFit="1" customWidth="1"/>
    <col min="13829" max="13829" width="3.85546875" style="12" customWidth="1"/>
    <col min="13830" max="13830" width="11.85546875" style="12" bestFit="1" customWidth="1"/>
    <col min="13831" max="13831" width="6.28515625" style="12" bestFit="1" customWidth="1"/>
    <col min="13832" max="14069" width="9.140625" style="12"/>
    <col min="14070" max="14070" width="34.28515625" style="12" customWidth="1"/>
    <col min="14071" max="14078" width="10" style="12" bestFit="1" customWidth="1"/>
    <col min="14079" max="14079" width="10" style="12" customWidth="1"/>
    <col min="14080" max="14082" width="0" style="12" hidden="1" customWidth="1"/>
    <col min="14083" max="14083" width="2.140625" style="12" customWidth="1"/>
    <col min="14084" max="14084" width="11" style="12" bestFit="1" customWidth="1"/>
    <col min="14085" max="14085" width="3.85546875" style="12" customWidth="1"/>
    <col min="14086" max="14086" width="11.85546875" style="12" bestFit="1" customWidth="1"/>
    <col min="14087" max="14087" width="6.28515625" style="12" bestFit="1" customWidth="1"/>
    <col min="14088" max="14325" width="9.140625" style="12"/>
    <col min="14326" max="14326" width="34.28515625" style="12" customWidth="1"/>
    <col min="14327" max="14334" width="10" style="12" bestFit="1" customWidth="1"/>
    <col min="14335" max="14335" width="10" style="12" customWidth="1"/>
    <col min="14336" max="14338" width="0" style="12" hidden="1" customWidth="1"/>
    <col min="14339" max="14339" width="2.140625" style="12" customWidth="1"/>
    <col min="14340" max="14340" width="11" style="12" bestFit="1" customWidth="1"/>
    <col min="14341" max="14341" width="3.85546875" style="12" customWidth="1"/>
    <col min="14342" max="14342" width="11.85546875" style="12" bestFit="1" customWidth="1"/>
    <col min="14343" max="14343" width="6.28515625" style="12" bestFit="1" customWidth="1"/>
    <col min="14344" max="14581" width="9.140625" style="12"/>
    <col min="14582" max="14582" width="34.28515625" style="12" customWidth="1"/>
    <col min="14583" max="14590" width="10" style="12" bestFit="1" customWidth="1"/>
    <col min="14591" max="14591" width="10" style="12" customWidth="1"/>
    <col min="14592" max="14594" width="0" style="12" hidden="1" customWidth="1"/>
    <col min="14595" max="14595" width="2.140625" style="12" customWidth="1"/>
    <col min="14596" max="14596" width="11" style="12" bestFit="1" customWidth="1"/>
    <col min="14597" max="14597" width="3.85546875" style="12" customWidth="1"/>
    <col min="14598" max="14598" width="11.85546875" style="12" bestFit="1" customWidth="1"/>
    <col min="14599" max="14599" width="6.28515625" style="12" bestFit="1" customWidth="1"/>
    <col min="14600" max="14837" width="9.140625" style="12"/>
    <col min="14838" max="14838" width="34.28515625" style="12" customWidth="1"/>
    <col min="14839" max="14846" width="10" style="12" bestFit="1" customWidth="1"/>
    <col min="14847" max="14847" width="10" style="12" customWidth="1"/>
    <col min="14848" max="14850" width="0" style="12" hidden="1" customWidth="1"/>
    <col min="14851" max="14851" width="2.140625" style="12" customWidth="1"/>
    <col min="14852" max="14852" width="11" style="12" bestFit="1" customWidth="1"/>
    <col min="14853" max="14853" width="3.85546875" style="12" customWidth="1"/>
    <col min="14854" max="14854" width="11.85546875" style="12" bestFit="1" customWidth="1"/>
    <col min="14855" max="14855" width="6.28515625" style="12" bestFit="1" customWidth="1"/>
    <col min="14856" max="15093" width="9.140625" style="12"/>
    <col min="15094" max="15094" width="34.28515625" style="12" customWidth="1"/>
    <col min="15095" max="15102" width="10" style="12" bestFit="1" customWidth="1"/>
    <col min="15103" max="15103" width="10" style="12" customWidth="1"/>
    <col min="15104" max="15106" width="0" style="12" hidden="1" customWidth="1"/>
    <col min="15107" max="15107" width="2.140625" style="12" customWidth="1"/>
    <col min="15108" max="15108" width="11" style="12" bestFit="1" customWidth="1"/>
    <col min="15109" max="15109" width="3.85546875" style="12" customWidth="1"/>
    <col min="15110" max="15110" width="11.85546875" style="12" bestFit="1" customWidth="1"/>
    <col min="15111" max="15111" width="6.28515625" style="12" bestFit="1" customWidth="1"/>
    <col min="15112" max="15349" width="9.140625" style="12"/>
    <col min="15350" max="15350" width="34.28515625" style="12" customWidth="1"/>
    <col min="15351" max="15358" width="10" style="12" bestFit="1" customWidth="1"/>
    <col min="15359" max="15359" width="10" style="12" customWidth="1"/>
    <col min="15360" max="15362" width="0" style="12" hidden="1" customWidth="1"/>
    <col min="15363" max="15363" width="2.140625" style="12" customWidth="1"/>
    <col min="15364" max="15364" width="11" style="12" bestFit="1" customWidth="1"/>
    <col min="15365" max="15365" width="3.85546875" style="12" customWidth="1"/>
    <col min="15366" max="15366" width="11.85546875" style="12" bestFit="1" customWidth="1"/>
    <col min="15367" max="15367" width="6.28515625" style="12" bestFit="1" customWidth="1"/>
    <col min="15368" max="15605" width="9.140625" style="12"/>
    <col min="15606" max="15606" width="34.28515625" style="12" customWidth="1"/>
    <col min="15607" max="15614" width="10" style="12" bestFit="1" customWidth="1"/>
    <col min="15615" max="15615" width="10" style="12" customWidth="1"/>
    <col min="15616" max="15618" width="0" style="12" hidden="1" customWidth="1"/>
    <col min="15619" max="15619" width="2.140625" style="12" customWidth="1"/>
    <col min="15620" max="15620" width="11" style="12" bestFit="1" customWidth="1"/>
    <col min="15621" max="15621" width="3.85546875" style="12" customWidth="1"/>
    <col min="15622" max="15622" width="11.85546875" style="12" bestFit="1" customWidth="1"/>
    <col min="15623" max="15623" width="6.28515625" style="12" bestFit="1" customWidth="1"/>
    <col min="15624" max="15861" width="9.140625" style="12"/>
    <col min="15862" max="15862" width="34.28515625" style="12" customWidth="1"/>
    <col min="15863" max="15870" width="10" style="12" bestFit="1" customWidth="1"/>
    <col min="15871" max="15871" width="10" style="12" customWidth="1"/>
    <col min="15872" max="15874" width="0" style="12" hidden="1" customWidth="1"/>
    <col min="15875" max="15875" width="2.140625" style="12" customWidth="1"/>
    <col min="15876" max="15876" width="11" style="12" bestFit="1" customWidth="1"/>
    <col min="15877" max="15877" width="3.85546875" style="12" customWidth="1"/>
    <col min="15878" max="15878" width="11.85546875" style="12" bestFit="1" customWidth="1"/>
    <col min="15879" max="15879" width="6.28515625" style="12" bestFit="1" customWidth="1"/>
    <col min="15880" max="16117" width="9.140625" style="12"/>
    <col min="16118" max="16118" width="34.28515625" style="12" customWidth="1"/>
    <col min="16119" max="16126" width="10" style="12" bestFit="1" customWidth="1"/>
    <col min="16127" max="16127" width="10" style="12" customWidth="1"/>
    <col min="16128" max="16130" width="0" style="12" hidden="1" customWidth="1"/>
    <col min="16131" max="16131" width="2.140625" style="12" customWidth="1"/>
    <col min="16132" max="16132" width="11" style="12" bestFit="1" customWidth="1"/>
    <col min="16133" max="16133" width="3.85546875" style="12" customWidth="1"/>
    <col min="16134" max="16134" width="11.85546875" style="12" bestFit="1" customWidth="1"/>
    <col min="16135" max="16135" width="6.28515625" style="12" bestFit="1" customWidth="1"/>
    <col min="16136" max="16384" width="9.140625" style="12"/>
  </cols>
  <sheetData>
    <row r="1" spans="1:8" ht="27" customHeight="1" x14ac:dyDescent="0.2">
      <c r="A1" s="72" t="s">
        <v>352</v>
      </c>
      <c r="B1" s="72"/>
      <c r="C1" s="72"/>
      <c r="D1" s="72"/>
      <c r="E1" s="72"/>
      <c r="F1" s="72"/>
      <c r="G1" s="72"/>
    </row>
    <row r="2" spans="1:8" ht="23.25" x14ac:dyDescent="0.35">
      <c r="B2" s="46"/>
      <c r="C2" s="46"/>
      <c r="D2" s="46"/>
    </row>
    <row r="3" spans="1:8" x14ac:dyDescent="0.2">
      <c r="B3" s="51"/>
      <c r="C3" s="51"/>
      <c r="D3" s="51"/>
      <c r="E3" s="51"/>
      <c r="F3" s="136" t="s">
        <v>319</v>
      </c>
      <c r="G3" s="137"/>
    </row>
    <row r="4" spans="1:8" s="5" customFormat="1" x14ac:dyDescent="0.2">
      <c r="A4" s="42" t="s">
        <v>332</v>
      </c>
      <c r="B4" s="53" t="s">
        <v>230</v>
      </c>
      <c r="C4" s="53" t="s">
        <v>307</v>
      </c>
      <c r="D4" s="53" t="s">
        <v>346</v>
      </c>
      <c r="E4" s="54"/>
      <c r="F4" s="55" t="s">
        <v>344</v>
      </c>
      <c r="G4" s="55" t="s">
        <v>345</v>
      </c>
    </row>
    <row r="5" spans="1:8" s="5" customFormat="1" hidden="1" x14ac:dyDescent="0.2">
      <c r="A5" s="6"/>
      <c r="B5" s="7"/>
      <c r="C5" s="7"/>
      <c r="D5" s="7" t="e">
        <f>#REF!</f>
        <v>#REF!</v>
      </c>
      <c r="E5" s="4"/>
      <c r="F5" s="7"/>
      <c r="G5" s="7"/>
    </row>
    <row r="6" spans="1:8" s="5" customFormat="1" ht="22.5" customHeight="1" x14ac:dyDescent="0.2">
      <c r="A6" s="8" t="s">
        <v>271</v>
      </c>
      <c r="B6" s="4"/>
      <c r="C6" s="4"/>
      <c r="D6" s="4"/>
      <c r="E6" s="4"/>
      <c r="F6" s="4"/>
      <c r="G6" s="4"/>
    </row>
    <row r="7" spans="1:8" x14ac:dyDescent="0.2">
      <c r="A7" s="9" t="s">
        <v>77</v>
      </c>
      <c r="B7" s="10">
        <v>53389</v>
      </c>
      <c r="C7" s="10">
        <v>45745</v>
      </c>
      <c r="D7" s="10" t="e">
        <f>VLOOKUP(A7,#REF!,15,0)</f>
        <v>#REF!</v>
      </c>
      <c r="F7" s="10">
        <f t="shared" ref="F7:G13" si="0">C7-B7</f>
        <v>-7644</v>
      </c>
      <c r="G7" s="10" t="e">
        <f t="shared" si="0"/>
        <v>#REF!</v>
      </c>
    </row>
    <row r="8" spans="1:8" x14ac:dyDescent="0.2">
      <c r="A8" s="13" t="s">
        <v>78</v>
      </c>
      <c r="B8" s="10">
        <v>165</v>
      </c>
      <c r="C8" s="10">
        <v>2367</v>
      </c>
      <c r="D8" s="10" t="e">
        <f>VLOOKUP(A8,#REF!,15,0)</f>
        <v>#REF!</v>
      </c>
      <c r="F8" s="10">
        <f t="shared" si="0"/>
        <v>2202</v>
      </c>
      <c r="G8" s="10" t="e">
        <f t="shared" si="0"/>
        <v>#REF!</v>
      </c>
    </row>
    <row r="9" spans="1:8" x14ac:dyDescent="0.2">
      <c r="A9" s="13" t="s">
        <v>79</v>
      </c>
      <c r="B9" s="10">
        <v>5297</v>
      </c>
      <c r="C9" s="10">
        <v>2055</v>
      </c>
      <c r="D9" s="10" t="e">
        <f>VLOOKUP(A9,#REF!,15,0)</f>
        <v>#REF!</v>
      </c>
      <c r="F9" s="10">
        <f t="shared" si="0"/>
        <v>-3242</v>
      </c>
      <c r="G9" s="10" t="e">
        <f t="shared" si="0"/>
        <v>#REF!</v>
      </c>
    </row>
    <row r="10" spans="1:8" x14ac:dyDescent="0.2">
      <c r="A10" s="13" t="s">
        <v>80</v>
      </c>
      <c r="B10" s="10">
        <v>5112</v>
      </c>
      <c r="C10" s="10">
        <v>4089</v>
      </c>
      <c r="D10" s="10" t="e">
        <f>VLOOKUP(A10,#REF!,15,0)</f>
        <v>#REF!</v>
      </c>
      <c r="F10" s="10">
        <f t="shared" si="0"/>
        <v>-1023</v>
      </c>
      <c r="G10" s="10" t="e">
        <f t="shared" si="0"/>
        <v>#REF!</v>
      </c>
    </row>
    <row r="11" spans="1:8" x14ac:dyDescent="0.2">
      <c r="A11" s="13" t="s">
        <v>81</v>
      </c>
      <c r="B11" s="10">
        <v>5402.23</v>
      </c>
      <c r="C11" s="10">
        <v>4965.42</v>
      </c>
      <c r="D11" s="10" t="e">
        <f>VLOOKUP(A11,#REF!,15,0)</f>
        <v>#REF!</v>
      </c>
      <c r="F11" s="10">
        <f t="shared" si="0"/>
        <v>-436.80999999999949</v>
      </c>
      <c r="G11" s="10" t="e">
        <f t="shared" si="0"/>
        <v>#REF!</v>
      </c>
    </row>
    <row r="12" spans="1:8" x14ac:dyDescent="0.2">
      <c r="A12" s="13" t="s">
        <v>82</v>
      </c>
      <c r="B12" s="10">
        <v>0</v>
      </c>
      <c r="C12" s="10">
        <v>7280.4879999999994</v>
      </c>
      <c r="D12" s="10" t="e">
        <f>VLOOKUP(A12,#REF!,15,0)</f>
        <v>#REF!</v>
      </c>
      <c r="F12" s="10">
        <f t="shared" si="0"/>
        <v>7280.4879999999994</v>
      </c>
      <c r="G12" s="10" t="e">
        <f t="shared" si="0"/>
        <v>#REF!</v>
      </c>
    </row>
    <row r="13" spans="1:8" x14ac:dyDescent="0.2">
      <c r="A13" s="13" t="s">
        <v>83</v>
      </c>
      <c r="B13" s="10">
        <v>1193.1399999999999</v>
      </c>
      <c r="C13" s="10">
        <v>984.61000000000013</v>
      </c>
      <c r="D13" s="10" t="e">
        <f>VLOOKUP(A13,#REF!,15,0)</f>
        <v>#REF!</v>
      </c>
      <c r="F13" s="10">
        <f t="shared" si="0"/>
        <v>-208.52999999999975</v>
      </c>
      <c r="G13" s="10" t="e">
        <f t="shared" si="0"/>
        <v>#REF!</v>
      </c>
    </row>
    <row r="14" spans="1:8" hidden="1" x14ac:dyDescent="0.2">
      <c r="A14" s="13" t="s">
        <v>84</v>
      </c>
      <c r="B14" s="10">
        <v>0</v>
      </c>
      <c r="C14" s="10">
        <v>0</v>
      </c>
      <c r="D14" s="10">
        <f t="shared" ref="D14:D15" si="1">C14/12</f>
        <v>0</v>
      </c>
      <c r="F14" s="60">
        <f>C14-B14</f>
        <v>0</v>
      </c>
      <c r="G14" s="61">
        <v>0</v>
      </c>
    </row>
    <row r="15" spans="1:8" s="5" customFormat="1" hidden="1" x14ac:dyDescent="0.2">
      <c r="A15" s="13" t="s">
        <v>85</v>
      </c>
      <c r="B15" s="10">
        <v>0</v>
      </c>
      <c r="C15" s="10">
        <v>0</v>
      </c>
      <c r="D15" s="10">
        <f t="shared" si="1"/>
        <v>0</v>
      </c>
      <c r="F15" s="60">
        <f>C15-B15</f>
        <v>0</v>
      </c>
      <c r="G15" s="61">
        <v>0</v>
      </c>
    </row>
    <row r="16" spans="1:8" s="5" customFormat="1" x14ac:dyDescent="0.2">
      <c r="A16" s="15" t="s">
        <v>275</v>
      </c>
      <c r="B16" s="16">
        <f>SUM(B7:B15)</f>
        <v>70558.37</v>
      </c>
      <c r="C16" s="16">
        <f>SUM(C7:C15)</f>
        <v>67486.517999999996</v>
      </c>
      <c r="D16" s="16" t="e">
        <f>SUM(D7:D15)</f>
        <v>#REF!</v>
      </c>
      <c r="F16" s="16">
        <f t="shared" ref="F16:G16" si="2">SUM(F7:F15)</f>
        <v>-3071.8519999999999</v>
      </c>
      <c r="G16" s="16" t="e">
        <f t="shared" si="2"/>
        <v>#REF!</v>
      </c>
      <c r="H16" s="12"/>
    </row>
    <row r="17" spans="1:8" s="5" customFormat="1" x14ac:dyDescent="0.2">
      <c r="A17" s="27"/>
      <c r="B17" s="17"/>
      <c r="C17" s="17"/>
      <c r="D17" s="17"/>
      <c r="F17" s="62">
        <f>IFERROR(C16/B16-1,"")</f>
        <v>-4.3536323188871795E-2</v>
      </c>
      <c r="G17" s="62" t="str">
        <f>IFERROR(D16/C16-1,"")</f>
        <v/>
      </c>
      <c r="H17" s="12"/>
    </row>
    <row r="18" spans="1:8" x14ac:dyDescent="0.2">
      <c r="A18" s="8" t="s">
        <v>272</v>
      </c>
      <c r="B18" s="50"/>
      <c r="C18" s="50"/>
      <c r="D18" s="50"/>
      <c r="F18" s="50"/>
      <c r="G18" s="71"/>
    </row>
    <row r="19" spans="1:8" x14ac:dyDescent="0.2">
      <c r="A19" s="13" t="s">
        <v>71</v>
      </c>
      <c r="B19" s="10">
        <v>741.83999999999992</v>
      </c>
      <c r="C19" s="10">
        <v>625.53000000000009</v>
      </c>
      <c r="D19" s="10" t="e">
        <f>VLOOKUP(A19,#REF!,15,0)</f>
        <v>#REF!</v>
      </c>
      <c r="F19" s="10">
        <f t="shared" ref="F19:F22" si="3">C19-B19</f>
        <v>-116.30999999999983</v>
      </c>
      <c r="G19" s="10" t="e">
        <f t="shared" ref="G19:G22" si="4">D19-C19</f>
        <v>#REF!</v>
      </c>
    </row>
    <row r="20" spans="1:8" x14ac:dyDescent="0.2">
      <c r="A20" s="13" t="s">
        <v>73</v>
      </c>
      <c r="B20" s="10">
        <v>27687.33</v>
      </c>
      <c r="C20" s="10">
        <v>22925.500000000004</v>
      </c>
      <c r="D20" s="10" t="e">
        <f>VLOOKUP(A20,#REF!,15,0)</f>
        <v>#REF!</v>
      </c>
      <c r="F20" s="10">
        <f t="shared" si="3"/>
        <v>-4761.8299999999981</v>
      </c>
      <c r="G20" s="10" t="e">
        <f t="shared" si="4"/>
        <v>#REF!</v>
      </c>
    </row>
    <row r="21" spans="1:8" x14ac:dyDescent="0.2">
      <c r="A21" s="13" t="s">
        <v>74</v>
      </c>
      <c r="B21" s="10">
        <v>5881.4</v>
      </c>
      <c r="C21" s="10">
        <v>5799.03</v>
      </c>
      <c r="D21" s="10" t="e">
        <f>VLOOKUP(A21,#REF!,15,0)</f>
        <v>#REF!</v>
      </c>
      <c r="F21" s="10">
        <f t="shared" si="3"/>
        <v>-82.369999999999891</v>
      </c>
      <c r="G21" s="10" t="e">
        <f t="shared" si="4"/>
        <v>#REF!</v>
      </c>
    </row>
    <row r="22" spans="1:8" x14ac:dyDescent="0.2">
      <c r="A22" s="13" t="s">
        <v>75</v>
      </c>
      <c r="B22" s="10">
        <v>0</v>
      </c>
      <c r="C22" s="10">
        <v>150.72999999999999</v>
      </c>
      <c r="D22" s="10" t="e">
        <f>VLOOKUP(A22,#REF!,15,0)</f>
        <v>#REF!</v>
      </c>
      <c r="F22" s="10">
        <f t="shared" si="3"/>
        <v>150.72999999999999</v>
      </c>
      <c r="G22" s="10" t="e">
        <f t="shared" si="4"/>
        <v>#REF!</v>
      </c>
    </row>
    <row r="23" spans="1:8" hidden="1" x14ac:dyDescent="0.2">
      <c r="A23" s="13" t="s">
        <v>76</v>
      </c>
      <c r="B23" s="10">
        <v>0</v>
      </c>
      <c r="C23" s="10">
        <v>0</v>
      </c>
      <c r="D23" s="10">
        <f t="shared" ref="D23" si="5">C23/12</f>
        <v>0</v>
      </c>
      <c r="F23" s="60">
        <f>C23-B23</f>
        <v>0</v>
      </c>
      <c r="G23" s="61">
        <v>0</v>
      </c>
    </row>
    <row r="24" spans="1:8" x14ac:dyDescent="0.2">
      <c r="A24" s="15" t="s">
        <v>274</v>
      </c>
      <c r="B24" s="16">
        <f>SUM(B18:B23)</f>
        <v>34310.57</v>
      </c>
      <c r="C24" s="16">
        <f>SUM(C18:C23)</f>
        <v>29500.79</v>
      </c>
      <c r="D24" s="16" t="e">
        <f>SUM(D18:D23)</f>
        <v>#REF!</v>
      </c>
      <c r="F24" s="16">
        <f t="shared" ref="F24:G24" si="6">SUM(F18:F23)</f>
        <v>-4809.7799999999979</v>
      </c>
      <c r="G24" s="16" t="e">
        <f t="shared" si="6"/>
        <v>#REF!</v>
      </c>
    </row>
    <row r="25" spans="1:8" x14ac:dyDescent="0.2">
      <c r="A25" s="27"/>
      <c r="B25" s="17"/>
      <c r="C25" s="17"/>
      <c r="D25" s="17"/>
      <c r="F25" s="62">
        <f>IFERROR(C24/B24-1,"")</f>
        <v>-0.14018362271451623</v>
      </c>
      <c r="G25" s="62" t="str">
        <f>IFERROR(D24/C24-1,"")</f>
        <v/>
      </c>
    </row>
    <row r="26" spans="1:8" x14ac:dyDescent="0.2">
      <c r="A26" s="8"/>
      <c r="G26" s="12"/>
    </row>
    <row r="27" spans="1:8" x14ac:dyDescent="0.2">
      <c r="A27" s="21" t="s">
        <v>331</v>
      </c>
      <c r="B27" s="70">
        <f>B24+B16</f>
        <v>104868.94</v>
      </c>
      <c r="C27" s="70">
        <f>C24+C16</f>
        <v>96987.30799999999</v>
      </c>
      <c r="D27" s="70" t="e">
        <f>D24+D16</f>
        <v>#REF!</v>
      </c>
      <c r="F27" s="70">
        <f t="shared" ref="F27:G27" si="7">F24+F16</f>
        <v>-7881.6319999999978</v>
      </c>
      <c r="G27" s="70" t="e">
        <f t="shared" si="7"/>
        <v>#REF!</v>
      </c>
    </row>
    <row r="28" spans="1:8" x14ac:dyDescent="0.2">
      <c r="F28" s="62">
        <f>IFERROR(C27/B27-1,"")</f>
        <v>-7.5156972121583454E-2</v>
      </c>
      <c r="G28" s="62" t="str">
        <f>IFERROR(D27/C27-1,"")</f>
        <v/>
      </c>
    </row>
  </sheetData>
  <mergeCells count="1">
    <mergeCell ref="F3:G3"/>
  </mergeCells>
  <printOptions horizontalCentered="1"/>
  <pageMargins left="0.51181102362204722" right="0.51181102362204722" top="1.3779527559055118" bottom="0.78740157480314965" header="0.78740157480314965" footer="0.31496062992125984"/>
  <pageSetup paperSize="9" scale="110" orientation="landscape" horizontalDpi="1200" verticalDpi="1200" r:id="rId1"/>
  <headerFooter>
    <oddHeader>&amp;C&amp;"-,Negrito"&amp;28ASSOCIAÇÃO DAS IGREJAS DA OBRA REGIONAL - REGIÃO 06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0.59999389629810485"/>
  </sheetPr>
  <dimension ref="A1:G13"/>
  <sheetViews>
    <sheetView showGridLines="0" workbookViewId="0">
      <selection activeCell="F7" sqref="F7:G7"/>
    </sheetView>
  </sheetViews>
  <sheetFormatPr defaultRowHeight="12.75" x14ac:dyDescent="0.2"/>
  <cols>
    <col min="1" max="1" width="35" style="12" customWidth="1"/>
    <col min="2" max="2" width="9.28515625" style="12" customWidth="1"/>
    <col min="3" max="3" width="8.85546875" style="12" customWidth="1"/>
    <col min="4" max="4" width="9.5703125" style="12" customWidth="1"/>
    <col min="5" max="5" width="2.140625" style="12" customWidth="1"/>
    <col min="6" max="6" width="10.28515625" style="12" customWidth="1"/>
    <col min="7" max="7" width="10.28515625" style="58" customWidth="1"/>
    <col min="8" max="8" width="26.28515625" style="12" customWidth="1"/>
    <col min="9" max="245" width="9.140625" style="12"/>
    <col min="246" max="246" width="34.28515625" style="12" customWidth="1"/>
    <col min="247" max="254" width="10" style="12" bestFit="1" customWidth="1"/>
    <col min="255" max="255" width="10" style="12" customWidth="1"/>
    <col min="256" max="258" width="0" style="12" hidden="1" customWidth="1"/>
    <col min="259" max="259" width="2.140625" style="12" customWidth="1"/>
    <col min="260" max="260" width="11" style="12" bestFit="1" customWidth="1"/>
    <col min="261" max="261" width="3.85546875" style="12" customWidth="1"/>
    <col min="262" max="262" width="11.85546875" style="12" bestFit="1" customWidth="1"/>
    <col min="263" max="263" width="6.28515625" style="12" bestFit="1" customWidth="1"/>
    <col min="264" max="501" width="9.140625" style="12"/>
    <col min="502" max="502" width="34.28515625" style="12" customWidth="1"/>
    <col min="503" max="510" width="10" style="12" bestFit="1" customWidth="1"/>
    <col min="511" max="511" width="10" style="12" customWidth="1"/>
    <col min="512" max="514" width="0" style="12" hidden="1" customWidth="1"/>
    <col min="515" max="515" width="2.140625" style="12" customWidth="1"/>
    <col min="516" max="516" width="11" style="12" bestFit="1" customWidth="1"/>
    <col min="517" max="517" width="3.85546875" style="12" customWidth="1"/>
    <col min="518" max="518" width="11.85546875" style="12" bestFit="1" customWidth="1"/>
    <col min="519" max="519" width="6.28515625" style="12" bestFit="1" customWidth="1"/>
    <col min="520" max="757" width="9.140625" style="12"/>
    <col min="758" max="758" width="34.28515625" style="12" customWidth="1"/>
    <col min="759" max="766" width="10" style="12" bestFit="1" customWidth="1"/>
    <col min="767" max="767" width="10" style="12" customWidth="1"/>
    <col min="768" max="770" width="0" style="12" hidden="1" customWidth="1"/>
    <col min="771" max="771" width="2.140625" style="12" customWidth="1"/>
    <col min="772" max="772" width="11" style="12" bestFit="1" customWidth="1"/>
    <col min="773" max="773" width="3.85546875" style="12" customWidth="1"/>
    <col min="774" max="774" width="11.85546875" style="12" bestFit="1" customWidth="1"/>
    <col min="775" max="775" width="6.28515625" style="12" bestFit="1" customWidth="1"/>
    <col min="776" max="1013" width="9.140625" style="12"/>
    <col min="1014" max="1014" width="34.28515625" style="12" customWidth="1"/>
    <col min="1015" max="1022" width="10" style="12" bestFit="1" customWidth="1"/>
    <col min="1023" max="1023" width="10" style="12" customWidth="1"/>
    <col min="1024" max="1026" width="0" style="12" hidden="1" customWidth="1"/>
    <col min="1027" max="1027" width="2.140625" style="12" customWidth="1"/>
    <col min="1028" max="1028" width="11" style="12" bestFit="1" customWidth="1"/>
    <col min="1029" max="1029" width="3.85546875" style="12" customWidth="1"/>
    <col min="1030" max="1030" width="11.85546875" style="12" bestFit="1" customWidth="1"/>
    <col min="1031" max="1031" width="6.28515625" style="12" bestFit="1" customWidth="1"/>
    <col min="1032" max="1269" width="9.140625" style="12"/>
    <col min="1270" max="1270" width="34.28515625" style="12" customWidth="1"/>
    <col min="1271" max="1278" width="10" style="12" bestFit="1" customWidth="1"/>
    <col min="1279" max="1279" width="10" style="12" customWidth="1"/>
    <col min="1280" max="1282" width="0" style="12" hidden="1" customWidth="1"/>
    <col min="1283" max="1283" width="2.140625" style="12" customWidth="1"/>
    <col min="1284" max="1284" width="11" style="12" bestFit="1" customWidth="1"/>
    <col min="1285" max="1285" width="3.85546875" style="12" customWidth="1"/>
    <col min="1286" max="1286" width="11.85546875" style="12" bestFit="1" customWidth="1"/>
    <col min="1287" max="1287" width="6.28515625" style="12" bestFit="1" customWidth="1"/>
    <col min="1288" max="1525" width="9.140625" style="12"/>
    <col min="1526" max="1526" width="34.28515625" style="12" customWidth="1"/>
    <col min="1527" max="1534" width="10" style="12" bestFit="1" customWidth="1"/>
    <col min="1535" max="1535" width="10" style="12" customWidth="1"/>
    <col min="1536" max="1538" width="0" style="12" hidden="1" customWidth="1"/>
    <col min="1539" max="1539" width="2.140625" style="12" customWidth="1"/>
    <col min="1540" max="1540" width="11" style="12" bestFit="1" customWidth="1"/>
    <col min="1541" max="1541" width="3.85546875" style="12" customWidth="1"/>
    <col min="1542" max="1542" width="11.85546875" style="12" bestFit="1" customWidth="1"/>
    <col min="1543" max="1543" width="6.28515625" style="12" bestFit="1" customWidth="1"/>
    <col min="1544" max="1781" width="9.140625" style="12"/>
    <col min="1782" max="1782" width="34.28515625" style="12" customWidth="1"/>
    <col min="1783" max="1790" width="10" style="12" bestFit="1" customWidth="1"/>
    <col min="1791" max="1791" width="10" style="12" customWidth="1"/>
    <col min="1792" max="1794" width="0" style="12" hidden="1" customWidth="1"/>
    <col min="1795" max="1795" width="2.140625" style="12" customWidth="1"/>
    <col min="1796" max="1796" width="11" style="12" bestFit="1" customWidth="1"/>
    <col min="1797" max="1797" width="3.85546875" style="12" customWidth="1"/>
    <col min="1798" max="1798" width="11.85546875" style="12" bestFit="1" customWidth="1"/>
    <col min="1799" max="1799" width="6.28515625" style="12" bestFit="1" customWidth="1"/>
    <col min="1800" max="2037" width="9.140625" style="12"/>
    <col min="2038" max="2038" width="34.28515625" style="12" customWidth="1"/>
    <col min="2039" max="2046" width="10" style="12" bestFit="1" customWidth="1"/>
    <col min="2047" max="2047" width="10" style="12" customWidth="1"/>
    <col min="2048" max="2050" width="0" style="12" hidden="1" customWidth="1"/>
    <col min="2051" max="2051" width="2.140625" style="12" customWidth="1"/>
    <col min="2052" max="2052" width="11" style="12" bestFit="1" customWidth="1"/>
    <col min="2053" max="2053" width="3.85546875" style="12" customWidth="1"/>
    <col min="2054" max="2054" width="11.85546875" style="12" bestFit="1" customWidth="1"/>
    <col min="2055" max="2055" width="6.28515625" style="12" bestFit="1" customWidth="1"/>
    <col min="2056" max="2293" width="9.140625" style="12"/>
    <col min="2294" max="2294" width="34.28515625" style="12" customWidth="1"/>
    <col min="2295" max="2302" width="10" style="12" bestFit="1" customWidth="1"/>
    <col min="2303" max="2303" width="10" style="12" customWidth="1"/>
    <col min="2304" max="2306" width="0" style="12" hidden="1" customWidth="1"/>
    <col min="2307" max="2307" width="2.140625" style="12" customWidth="1"/>
    <col min="2308" max="2308" width="11" style="12" bestFit="1" customWidth="1"/>
    <col min="2309" max="2309" width="3.85546875" style="12" customWidth="1"/>
    <col min="2310" max="2310" width="11.85546875" style="12" bestFit="1" customWidth="1"/>
    <col min="2311" max="2311" width="6.28515625" style="12" bestFit="1" customWidth="1"/>
    <col min="2312" max="2549" width="9.140625" style="12"/>
    <col min="2550" max="2550" width="34.28515625" style="12" customWidth="1"/>
    <col min="2551" max="2558" width="10" style="12" bestFit="1" customWidth="1"/>
    <col min="2559" max="2559" width="10" style="12" customWidth="1"/>
    <col min="2560" max="2562" width="0" style="12" hidden="1" customWidth="1"/>
    <col min="2563" max="2563" width="2.140625" style="12" customWidth="1"/>
    <col min="2564" max="2564" width="11" style="12" bestFit="1" customWidth="1"/>
    <col min="2565" max="2565" width="3.85546875" style="12" customWidth="1"/>
    <col min="2566" max="2566" width="11.85546875" style="12" bestFit="1" customWidth="1"/>
    <col min="2567" max="2567" width="6.28515625" style="12" bestFit="1" customWidth="1"/>
    <col min="2568" max="2805" width="9.140625" style="12"/>
    <col min="2806" max="2806" width="34.28515625" style="12" customWidth="1"/>
    <col min="2807" max="2814" width="10" style="12" bestFit="1" customWidth="1"/>
    <col min="2815" max="2815" width="10" style="12" customWidth="1"/>
    <col min="2816" max="2818" width="0" style="12" hidden="1" customWidth="1"/>
    <col min="2819" max="2819" width="2.140625" style="12" customWidth="1"/>
    <col min="2820" max="2820" width="11" style="12" bestFit="1" customWidth="1"/>
    <col min="2821" max="2821" width="3.85546875" style="12" customWidth="1"/>
    <col min="2822" max="2822" width="11.85546875" style="12" bestFit="1" customWidth="1"/>
    <col min="2823" max="2823" width="6.28515625" style="12" bestFit="1" customWidth="1"/>
    <col min="2824" max="3061" width="9.140625" style="12"/>
    <col min="3062" max="3062" width="34.28515625" style="12" customWidth="1"/>
    <col min="3063" max="3070" width="10" style="12" bestFit="1" customWidth="1"/>
    <col min="3071" max="3071" width="10" style="12" customWidth="1"/>
    <col min="3072" max="3074" width="0" style="12" hidden="1" customWidth="1"/>
    <col min="3075" max="3075" width="2.140625" style="12" customWidth="1"/>
    <col min="3076" max="3076" width="11" style="12" bestFit="1" customWidth="1"/>
    <col min="3077" max="3077" width="3.85546875" style="12" customWidth="1"/>
    <col min="3078" max="3078" width="11.85546875" style="12" bestFit="1" customWidth="1"/>
    <col min="3079" max="3079" width="6.28515625" style="12" bestFit="1" customWidth="1"/>
    <col min="3080" max="3317" width="9.140625" style="12"/>
    <col min="3318" max="3318" width="34.28515625" style="12" customWidth="1"/>
    <col min="3319" max="3326" width="10" style="12" bestFit="1" customWidth="1"/>
    <col min="3327" max="3327" width="10" style="12" customWidth="1"/>
    <col min="3328" max="3330" width="0" style="12" hidden="1" customWidth="1"/>
    <col min="3331" max="3331" width="2.140625" style="12" customWidth="1"/>
    <col min="3332" max="3332" width="11" style="12" bestFit="1" customWidth="1"/>
    <col min="3333" max="3333" width="3.85546875" style="12" customWidth="1"/>
    <col min="3334" max="3334" width="11.85546875" style="12" bestFit="1" customWidth="1"/>
    <col min="3335" max="3335" width="6.28515625" style="12" bestFit="1" customWidth="1"/>
    <col min="3336" max="3573" width="9.140625" style="12"/>
    <col min="3574" max="3574" width="34.28515625" style="12" customWidth="1"/>
    <col min="3575" max="3582" width="10" style="12" bestFit="1" customWidth="1"/>
    <col min="3583" max="3583" width="10" style="12" customWidth="1"/>
    <col min="3584" max="3586" width="0" style="12" hidden="1" customWidth="1"/>
    <col min="3587" max="3587" width="2.140625" style="12" customWidth="1"/>
    <col min="3588" max="3588" width="11" style="12" bestFit="1" customWidth="1"/>
    <col min="3589" max="3589" width="3.85546875" style="12" customWidth="1"/>
    <col min="3590" max="3590" width="11.85546875" style="12" bestFit="1" customWidth="1"/>
    <col min="3591" max="3591" width="6.28515625" style="12" bestFit="1" customWidth="1"/>
    <col min="3592" max="3829" width="9.140625" style="12"/>
    <col min="3830" max="3830" width="34.28515625" style="12" customWidth="1"/>
    <col min="3831" max="3838" width="10" style="12" bestFit="1" customWidth="1"/>
    <col min="3839" max="3839" width="10" style="12" customWidth="1"/>
    <col min="3840" max="3842" width="0" style="12" hidden="1" customWidth="1"/>
    <col min="3843" max="3843" width="2.140625" style="12" customWidth="1"/>
    <col min="3844" max="3844" width="11" style="12" bestFit="1" customWidth="1"/>
    <col min="3845" max="3845" width="3.85546875" style="12" customWidth="1"/>
    <col min="3846" max="3846" width="11.85546875" style="12" bestFit="1" customWidth="1"/>
    <col min="3847" max="3847" width="6.28515625" style="12" bestFit="1" customWidth="1"/>
    <col min="3848" max="4085" width="9.140625" style="12"/>
    <col min="4086" max="4086" width="34.28515625" style="12" customWidth="1"/>
    <col min="4087" max="4094" width="10" style="12" bestFit="1" customWidth="1"/>
    <col min="4095" max="4095" width="10" style="12" customWidth="1"/>
    <col min="4096" max="4098" width="0" style="12" hidden="1" customWidth="1"/>
    <col min="4099" max="4099" width="2.140625" style="12" customWidth="1"/>
    <col min="4100" max="4100" width="11" style="12" bestFit="1" customWidth="1"/>
    <col min="4101" max="4101" width="3.85546875" style="12" customWidth="1"/>
    <col min="4102" max="4102" width="11.85546875" style="12" bestFit="1" customWidth="1"/>
    <col min="4103" max="4103" width="6.28515625" style="12" bestFit="1" customWidth="1"/>
    <col min="4104" max="4341" width="9.140625" style="12"/>
    <col min="4342" max="4342" width="34.28515625" style="12" customWidth="1"/>
    <col min="4343" max="4350" width="10" style="12" bestFit="1" customWidth="1"/>
    <col min="4351" max="4351" width="10" style="12" customWidth="1"/>
    <col min="4352" max="4354" width="0" style="12" hidden="1" customWidth="1"/>
    <col min="4355" max="4355" width="2.140625" style="12" customWidth="1"/>
    <col min="4356" max="4356" width="11" style="12" bestFit="1" customWidth="1"/>
    <col min="4357" max="4357" width="3.85546875" style="12" customWidth="1"/>
    <col min="4358" max="4358" width="11.85546875" style="12" bestFit="1" customWidth="1"/>
    <col min="4359" max="4359" width="6.28515625" style="12" bestFit="1" customWidth="1"/>
    <col min="4360" max="4597" width="9.140625" style="12"/>
    <col min="4598" max="4598" width="34.28515625" style="12" customWidth="1"/>
    <col min="4599" max="4606" width="10" style="12" bestFit="1" customWidth="1"/>
    <col min="4607" max="4607" width="10" style="12" customWidth="1"/>
    <col min="4608" max="4610" width="0" style="12" hidden="1" customWidth="1"/>
    <col min="4611" max="4611" width="2.140625" style="12" customWidth="1"/>
    <col min="4612" max="4612" width="11" style="12" bestFit="1" customWidth="1"/>
    <col min="4613" max="4613" width="3.85546875" style="12" customWidth="1"/>
    <col min="4614" max="4614" width="11.85546875" style="12" bestFit="1" customWidth="1"/>
    <col min="4615" max="4615" width="6.28515625" style="12" bestFit="1" customWidth="1"/>
    <col min="4616" max="4853" width="9.140625" style="12"/>
    <col min="4854" max="4854" width="34.28515625" style="12" customWidth="1"/>
    <col min="4855" max="4862" width="10" style="12" bestFit="1" customWidth="1"/>
    <col min="4863" max="4863" width="10" style="12" customWidth="1"/>
    <col min="4864" max="4866" width="0" style="12" hidden="1" customWidth="1"/>
    <col min="4867" max="4867" width="2.140625" style="12" customWidth="1"/>
    <col min="4868" max="4868" width="11" style="12" bestFit="1" customWidth="1"/>
    <col min="4869" max="4869" width="3.85546875" style="12" customWidth="1"/>
    <col min="4870" max="4870" width="11.85546875" style="12" bestFit="1" customWidth="1"/>
    <col min="4871" max="4871" width="6.28515625" style="12" bestFit="1" customWidth="1"/>
    <col min="4872" max="5109" width="9.140625" style="12"/>
    <col min="5110" max="5110" width="34.28515625" style="12" customWidth="1"/>
    <col min="5111" max="5118" width="10" style="12" bestFit="1" customWidth="1"/>
    <col min="5119" max="5119" width="10" style="12" customWidth="1"/>
    <col min="5120" max="5122" width="0" style="12" hidden="1" customWidth="1"/>
    <col min="5123" max="5123" width="2.140625" style="12" customWidth="1"/>
    <col min="5124" max="5124" width="11" style="12" bestFit="1" customWidth="1"/>
    <col min="5125" max="5125" width="3.85546875" style="12" customWidth="1"/>
    <col min="5126" max="5126" width="11.85546875" style="12" bestFit="1" customWidth="1"/>
    <col min="5127" max="5127" width="6.28515625" style="12" bestFit="1" customWidth="1"/>
    <col min="5128" max="5365" width="9.140625" style="12"/>
    <col min="5366" max="5366" width="34.28515625" style="12" customWidth="1"/>
    <col min="5367" max="5374" width="10" style="12" bestFit="1" customWidth="1"/>
    <col min="5375" max="5375" width="10" style="12" customWidth="1"/>
    <col min="5376" max="5378" width="0" style="12" hidden="1" customWidth="1"/>
    <col min="5379" max="5379" width="2.140625" style="12" customWidth="1"/>
    <col min="5380" max="5380" width="11" style="12" bestFit="1" customWidth="1"/>
    <col min="5381" max="5381" width="3.85546875" style="12" customWidth="1"/>
    <col min="5382" max="5382" width="11.85546875" style="12" bestFit="1" customWidth="1"/>
    <col min="5383" max="5383" width="6.28515625" style="12" bestFit="1" customWidth="1"/>
    <col min="5384" max="5621" width="9.140625" style="12"/>
    <col min="5622" max="5622" width="34.28515625" style="12" customWidth="1"/>
    <col min="5623" max="5630" width="10" style="12" bestFit="1" customWidth="1"/>
    <col min="5631" max="5631" width="10" style="12" customWidth="1"/>
    <col min="5632" max="5634" width="0" style="12" hidden="1" customWidth="1"/>
    <col min="5635" max="5635" width="2.140625" style="12" customWidth="1"/>
    <col min="5636" max="5636" width="11" style="12" bestFit="1" customWidth="1"/>
    <col min="5637" max="5637" width="3.85546875" style="12" customWidth="1"/>
    <col min="5638" max="5638" width="11.85546875" style="12" bestFit="1" customWidth="1"/>
    <col min="5639" max="5639" width="6.28515625" style="12" bestFit="1" customWidth="1"/>
    <col min="5640" max="5877" width="9.140625" style="12"/>
    <col min="5878" max="5878" width="34.28515625" style="12" customWidth="1"/>
    <col min="5879" max="5886" width="10" style="12" bestFit="1" customWidth="1"/>
    <col min="5887" max="5887" width="10" style="12" customWidth="1"/>
    <col min="5888" max="5890" width="0" style="12" hidden="1" customWidth="1"/>
    <col min="5891" max="5891" width="2.140625" style="12" customWidth="1"/>
    <col min="5892" max="5892" width="11" style="12" bestFit="1" customWidth="1"/>
    <col min="5893" max="5893" width="3.85546875" style="12" customWidth="1"/>
    <col min="5894" max="5894" width="11.85546875" style="12" bestFit="1" customWidth="1"/>
    <col min="5895" max="5895" width="6.28515625" style="12" bestFit="1" customWidth="1"/>
    <col min="5896" max="6133" width="9.140625" style="12"/>
    <col min="6134" max="6134" width="34.28515625" style="12" customWidth="1"/>
    <col min="6135" max="6142" width="10" style="12" bestFit="1" customWidth="1"/>
    <col min="6143" max="6143" width="10" style="12" customWidth="1"/>
    <col min="6144" max="6146" width="0" style="12" hidden="1" customWidth="1"/>
    <col min="6147" max="6147" width="2.140625" style="12" customWidth="1"/>
    <col min="6148" max="6148" width="11" style="12" bestFit="1" customWidth="1"/>
    <col min="6149" max="6149" width="3.85546875" style="12" customWidth="1"/>
    <col min="6150" max="6150" width="11.85546875" style="12" bestFit="1" customWidth="1"/>
    <col min="6151" max="6151" width="6.28515625" style="12" bestFit="1" customWidth="1"/>
    <col min="6152" max="6389" width="9.140625" style="12"/>
    <col min="6390" max="6390" width="34.28515625" style="12" customWidth="1"/>
    <col min="6391" max="6398" width="10" style="12" bestFit="1" customWidth="1"/>
    <col min="6399" max="6399" width="10" style="12" customWidth="1"/>
    <col min="6400" max="6402" width="0" style="12" hidden="1" customWidth="1"/>
    <col min="6403" max="6403" width="2.140625" style="12" customWidth="1"/>
    <col min="6404" max="6404" width="11" style="12" bestFit="1" customWidth="1"/>
    <col min="6405" max="6405" width="3.85546875" style="12" customWidth="1"/>
    <col min="6406" max="6406" width="11.85546875" style="12" bestFit="1" customWidth="1"/>
    <col min="6407" max="6407" width="6.28515625" style="12" bestFit="1" customWidth="1"/>
    <col min="6408" max="6645" width="9.140625" style="12"/>
    <col min="6646" max="6646" width="34.28515625" style="12" customWidth="1"/>
    <col min="6647" max="6654" width="10" style="12" bestFit="1" customWidth="1"/>
    <col min="6655" max="6655" width="10" style="12" customWidth="1"/>
    <col min="6656" max="6658" width="0" style="12" hidden="1" customWidth="1"/>
    <col min="6659" max="6659" width="2.140625" style="12" customWidth="1"/>
    <col min="6660" max="6660" width="11" style="12" bestFit="1" customWidth="1"/>
    <col min="6661" max="6661" width="3.85546875" style="12" customWidth="1"/>
    <col min="6662" max="6662" width="11.85546875" style="12" bestFit="1" customWidth="1"/>
    <col min="6663" max="6663" width="6.28515625" style="12" bestFit="1" customWidth="1"/>
    <col min="6664" max="6901" width="9.140625" style="12"/>
    <col min="6902" max="6902" width="34.28515625" style="12" customWidth="1"/>
    <col min="6903" max="6910" width="10" style="12" bestFit="1" customWidth="1"/>
    <col min="6911" max="6911" width="10" style="12" customWidth="1"/>
    <col min="6912" max="6914" width="0" style="12" hidden="1" customWidth="1"/>
    <col min="6915" max="6915" width="2.140625" style="12" customWidth="1"/>
    <col min="6916" max="6916" width="11" style="12" bestFit="1" customWidth="1"/>
    <col min="6917" max="6917" width="3.85546875" style="12" customWidth="1"/>
    <col min="6918" max="6918" width="11.85546875" style="12" bestFit="1" customWidth="1"/>
    <col min="6919" max="6919" width="6.28515625" style="12" bestFit="1" customWidth="1"/>
    <col min="6920" max="7157" width="9.140625" style="12"/>
    <col min="7158" max="7158" width="34.28515625" style="12" customWidth="1"/>
    <col min="7159" max="7166" width="10" style="12" bestFit="1" customWidth="1"/>
    <col min="7167" max="7167" width="10" style="12" customWidth="1"/>
    <col min="7168" max="7170" width="0" style="12" hidden="1" customWidth="1"/>
    <col min="7171" max="7171" width="2.140625" style="12" customWidth="1"/>
    <col min="7172" max="7172" width="11" style="12" bestFit="1" customWidth="1"/>
    <col min="7173" max="7173" width="3.85546875" style="12" customWidth="1"/>
    <col min="7174" max="7174" width="11.85546875" style="12" bestFit="1" customWidth="1"/>
    <col min="7175" max="7175" width="6.28515625" style="12" bestFit="1" customWidth="1"/>
    <col min="7176" max="7413" width="9.140625" style="12"/>
    <col min="7414" max="7414" width="34.28515625" style="12" customWidth="1"/>
    <col min="7415" max="7422" width="10" style="12" bestFit="1" customWidth="1"/>
    <col min="7423" max="7423" width="10" style="12" customWidth="1"/>
    <col min="7424" max="7426" width="0" style="12" hidden="1" customWidth="1"/>
    <col min="7427" max="7427" width="2.140625" style="12" customWidth="1"/>
    <col min="7428" max="7428" width="11" style="12" bestFit="1" customWidth="1"/>
    <col min="7429" max="7429" width="3.85546875" style="12" customWidth="1"/>
    <col min="7430" max="7430" width="11.85546875" style="12" bestFit="1" customWidth="1"/>
    <col min="7431" max="7431" width="6.28515625" style="12" bestFit="1" customWidth="1"/>
    <col min="7432" max="7669" width="9.140625" style="12"/>
    <col min="7670" max="7670" width="34.28515625" style="12" customWidth="1"/>
    <col min="7671" max="7678" width="10" style="12" bestFit="1" customWidth="1"/>
    <col min="7679" max="7679" width="10" style="12" customWidth="1"/>
    <col min="7680" max="7682" width="0" style="12" hidden="1" customWidth="1"/>
    <col min="7683" max="7683" width="2.140625" style="12" customWidth="1"/>
    <col min="7684" max="7684" width="11" style="12" bestFit="1" customWidth="1"/>
    <col min="7685" max="7685" width="3.85546875" style="12" customWidth="1"/>
    <col min="7686" max="7686" width="11.85546875" style="12" bestFit="1" customWidth="1"/>
    <col min="7687" max="7687" width="6.28515625" style="12" bestFit="1" customWidth="1"/>
    <col min="7688" max="7925" width="9.140625" style="12"/>
    <col min="7926" max="7926" width="34.28515625" style="12" customWidth="1"/>
    <col min="7927" max="7934" width="10" style="12" bestFit="1" customWidth="1"/>
    <col min="7935" max="7935" width="10" style="12" customWidth="1"/>
    <col min="7936" max="7938" width="0" style="12" hidden="1" customWidth="1"/>
    <col min="7939" max="7939" width="2.140625" style="12" customWidth="1"/>
    <col min="7940" max="7940" width="11" style="12" bestFit="1" customWidth="1"/>
    <col min="7941" max="7941" width="3.85546875" style="12" customWidth="1"/>
    <col min="7942" max="7942" width="11.85546875" style="12" bestFit="1" customWidth="1"/>
    <col min="7943" max="7943" width="6.28515625" style="12" bestFit="1" customWidth="1"/>
    <col min="7944" max="8181" width="9.140625" style="12"/>
    <col min="8182" max="8182" width="34.28515625" style="12" customWidth="1"/>
    <col min="8183" max="8190" width="10" style="12" bestFit="1" customWidth="1"/>
    <col min="8191" max="8191" width="10" style="12" customWidth="1"/>
    <col min="8192" max="8194" width="0" style="12" hidden="1" customWidth="1"/>
    <col min="8195" max="8195" width="2.140625" style="12" customWidth="1"/>
    <col min="8196" max="8196" width="11" style="12" bestFit="1" customWidth="1"/>
    <col min="8197" max="8197" width="3.85546875" style="12" customWidth="1"/>
    <col min="8198" max="8198" width="11.85546875" style="12" bestFit="1" customWidth="1"/>
    <col min="8199" max="8199" width="6.28515625" style="12" bestFit="1" customWidth="1"/>
    <col min="8200" max="8437" width="9.140625" style="12"/>
    <col min="8438" max="8438" width="34.28515625" style="12" customWidth="1"/>
    <col min="8439" max="8446" width="10" style="12" bestFit="1" customWidth="1"/>
    <col min="8447" max="8447" width="10" style="12" customWidth="1"/>
    <col min="8448" max="8450" width="0" style="12" hidden="1" customWidth="1"/>
    <col min="8451" max="8451" width="2.140625" style="12" customWidth="1"/>
    <col min="8452" max="8452" width="11" style="12" bestFit="1" customWidth="1"/>
    <col min="8453" max="8453" width="3.85546875" style="12" customWidth="1"/>
    <col min="8454" max="8454" width="11.85546875" style="12" bestFit="1" customWidth="1"/>
    <col min="8455" max="8455" width="6.28515625" style="12" bestFit="1" customWidth="1"/>
    <col min="8456" max="8693" width="9.140625" style="12"/>
    <col min="8694" max="8694" width="34.28515625" style="12" customWidth="1"/>
    <col min="8695" max="8702" width="10" style="12" bestFit="1" customWidth="1"/>
    <col min="8703" max="8703" width="10" style="12" customWidth="1"/>
    <col min="8704" max="8706" width="0" style="12" hidden="1" customWidth="1"/>
    <col min="8707" max="8707" width="2.140625" style="12" customWidth="1"/>
    <col min="8708" max="8708" width="11" style="12" bestFit="1" customWidth="1"/>
    <col min="8709" max="8709" width="3.85546875" style="12" customWidth="1"/>
    <col min="8710" max="8710" width="11.85546875" style="12" bestFit="1" customWidth="1"/>
    <col min="8711" max="8711" width="6.28515625" style="12" bestFit="1" customWidth="1"/>
    <col min="8712" max="8949" width="9.140625" style="12"/>
    <col min="8950" max="8950" width="34.28515625" style="12" customWidth="1"/>
    <col min="8951" max="8958" width="10" style="12" bestFit="1" customWidth="1"/>
    <col min="8959" max="8959" width="10" style="12" customWidth="1"/>
    <col min="8960" max="8962" width="0" style="12" hidden="1" customWidth="1"/>
    <col min="8963" max="8963" width="2.140625" style="12" customWidth="1"/>
    <col min="8964" max="8964" width="11" style="12" bestFit="1" customWidth="1"/>
    <col min="8965" max="8965" width="3.85546875" style="12" customWidth="1"/>
    <col min="8966" max="8966" width="11.85546875" style="12" bestFit="1" customWidth="1"/>
    <col min="8967" max="8967" width="6.28515625" style="12" bestFit="1" customWidth="1"/>
    <col min="8968" max="9205" width="9.140625" style="12"/>
    <col min="9206" max="9206" width="34.28515625" style="12" customWidth="1"/>
    <col min="9207" max="9214" width="10" style="12" bestFit="1" customWidth="1"/>
    <col min="9215" max="9215" width="10" style="12" customWidth="1"/>
    <col min="9216" max="9218" width="0" style="12" hidden="1" customWidth="1"/>
    <col min="9219" max="9219" width="2.140625" style="12" customWidth="1"/>
    <col min="9220" max="9220" width="11" style="12" bestFit="1" customWidth="1"/>
    <col min="9221" max="9221" width="3.85546875" style="12" customWidth="1"/>
    <col min="9222" max="9222" width="11.85546875" style="12" bestFit="1" customWidth="1"/>
    <col min="9223" max="9223" width="6.28515625" style="12" bestFit="1" customWidth="1"/>
    <col min="9224" max="9461" width="9.140625" style="12"/>
    <col min="9462" max="9462" width="34.28515625" style="12" customWidth="1"/>
    <col min="9463" max="9470" width="10" style="12" bestFit="1" customWidth="1"/>
    <col min="9471" max="9471" width="10" style="12" customWidth="1"/>
    <col min="9472" max="9474" width="0" style="12" hidden="1" customWidth="1"/>
    <col min="9475" max="9475" width="2.140625" style="12" customWidth="1"/>
    <col min="9476" max="9476" width="11" style="12" bestFit="1" customWidth="1"/>
    <col min="9477" max="9477" width="3.85546875" style="12" customWidth="1"/>
    <col min="9478" max="9478" width="11.85546875" style="12" bestFit="1" customWidth="1"/>
    <col min="9479" max="9479" width="6.28515625" style="12" bestFit="1" customWidth="1"/>
    <col min="9480" max="9717" width="9.140625" style="12"/>
    <col min="9718" max="9718" width="34.28515625" style="12" customWidth="1"/>
    <col min="9719" max="9726" width="10" style="12" bestFit="1" customWidth="1"/>
    <col min="9727" max="9727" width="10" style="12" customWidth="1"/>
    <col min="9728" max="9730" width="0" style="12" hidden="1" customWidth="1"/>
    <col min="9731" max="9731" width="2.140625" style="12" customWidth="1"/>
    <col min="9732" max="9732" width="11" style="12" bestFit="1" customWidth="1"/>
    <col min="9733" max="9733" width="3.85546875" style="12" customWidth="1"/>
    <col min="9734" max="9734" width="11.85546875" style="12" bestFit="1" customWidth="1"/>
    <col min="9735" max="9735" width="6.28515625" style="12" bestFit="1" customWidth="1"/>
    <col min="9736" max="9973" width="9.140625" style="12"/>
    <col min="9974" max="9974" width="34.28515625" style="12" customWidth="1"/>
    <col min="9975" max="9982" width="10" style="12" bestFit="1" customWidth="1"/>
    <col min="9983" max="9983" width="10" style="12" customWidth="1"/>
    <col min="9984" max="9986" width="0" style="12" hidden="1" customWidth="1"/>
    <col min="9987" max="9987" width="2.140625" style="12" customWidth="1"/>
    <col min="9988" max="9988" width="11" style="12" bestFit="1" customWidth="1"/>
    <col min="9989" max="9989" width="3.85546875" style="12" customWidth="1"/>
    <col min="9990" max="9990" width="11.85546875" style="12" bestFit="1" customWidth="1"/>
    <col min="9991" max="9991" width="6.28515625" style="12" bestFit="1" customWidth="1"/>
    <col min="9992" max="10229" width="9.140625" style="12"/>
    <col min="10230" max="10230" width="34.28515625" style="12" customWidth="1"/>
    <col min="10231" max="10238" width="10" style="12" bestFit="1" customWidth="1"/>
    <col min="10239" max="10239" width="10" style="12" customWidth="1"/>
    <col min="10240" max="10242" width="0" style="12" hidden="1" customWidth="1"/>
    <col min="10243" max="10243" width="2.140625" style="12" customWidth="1"/>
    <col min="10244" max="10244" width="11" style="12" bestFit="1" customWidth="1"/>
    <col min="10245" max="10245" width="3.85546875" style="12" customWidth="1"/>
    <col min="10246" max="10246" width="11.85546875" style="12" bestFit="1" customWidth="1"/>
    <col min="10247" max="10247" width="6.28515625" style="12" bestFit="1" customWidth="1"/>
    <col min="10248" max="10485" width="9.140625" style="12"/>
    <col min="10486" max="10486" width="34.28515625" style="12" customWidth="1"/>
    <col min="10487" max="10494" width="10" style="12" bestFit="1" customWidth="1"/>
    <col min="10495" max="10495" width="10" style="12" customWidth="1"/>
    <col min="10496" max="10498" width="0" style="12" hidden="1" customWidth="1"/>
    <col min="10499" max="10499" width="2.140625" style="12" customWidth="1"/>
    <col min="10500" max="10500" width="11" style="12" bestFit="1" customWidth="1"/>
    <col min="10501" max="10501" width="3.85546875" style="12" customWidth="1"/>
    <col min="10502" max="10502" width="11.85546875" style="12" bestFit="1" customWidth="1"/>
    <col min="10503" max="10503" width="6.28515625" style="12" bestFit="1" customWidth="1"/>
    <col min="10504" max="10741" width="9.140625" style="12"/>
    <col min="10742" max="10742" width="34.28515625" style="12" customWidth="1"/>
    <col min="10743" max="10750" width="10" style="12" bestFit="1" customWidth="1"/>
    <col min="10751" max="10751" width="10" style="12" customWidth="1"/>
    <col min="10752" max="10754" width="0" style="12" hidden="1" customWidth="1"/>
    <col min="10755" max="10755" width="2.140625" style="12" customWidth="1"/>
    <col min="10756" max="10756" width="11" style="12" bestFit="1" customWidth="1"/>
    <col min="10757" max="10757" width="3.85546875" style="12" customWidth="1"/>
    <col min="10758" max="10758" width="11.85546875" style="12" bestFit="1" customWidth="1"/>
    <col min="10759" max="10759" width="6.28515625" style="12" bestFit="1" customWidth="1"/>
    <col min="10760" max="10997" width="9.140625" style="12"/>
    <col min="10998" max="10998" width="34.28515625" style="12" customWidth="1"/>
    <col min="10999" max="11006" width="10" style="12" bestFit="1" customWidth="1"/>
    <col min="11007" max="11007" width="10" style="12" customWidth="1"/>
    <col min="11008" max="11010" width="0" style="12" hidden="1" customWidth="1"/>
    <col min="11011" max="11011" width="2.140625" style="12" customWidth="1"/>
    <col min="11012" max="11012" width="11" style="12" bestFit="1" customWidth="1"/>
    <col min="11013" max="11013" width="3.85546875" style="12" customWidth="1"/>
    <col min="11014" max="11014" width="11.85546875" style="12" bestFit="1" customWidth="1"/>
    <col min="11015" max="11015" width="6.28515625" style="12" bestFit="1" customWidth="1"/>
    <col min="11016" max="11253" width="9.140625" style="12"/>
    <col min="11254" max="11254" width="34.28515625" style="12" customWidth="1"/>
    <col min="11255" max="11262" width="10" style="12" bestFit="1" customWidth="1"/>
    <col min="11263" max="11263" width="10" style="12" customWidth="1"/>
    <col min="11264" max="11266" width="0" style="12" hidden="1" customWidth="1"/>
    <col min="11267" max="11267" width="2.140625" style="12" customWidth="1"/>
    <col min="11268" max="11268" width="11" style="12" bestFit="1" customWidth="1"/>
    <col min="11269" max="11269" width="3.85546875" style="12" customWidth="1"/>
    <col min="11270" max="11270" width="11.85546875" style="12" bestFit="1" customWidth="1"/>
    <col min="11271" max="11271" width="6.28515625" style="12" bestFit="1" customWidth="1"/>
    <col min="11272" max="11509" width="9.140625" style="12"/>
    <col min="11510" max="11510" width="34.28515625" style="12" customWidth="1"/>
    <col min="11511" max="11518" width="10" style="12" bestFit="1" customWidth="1"/>
    <col min="11519" max="11519" width="10" style="12" customWidth="1"/>
    <col min="11520" max="11522" width="0" style="12" hidden="1" customWidth="1"/>
    <col min="11523" max="11523" width="2.140625" style="12" customWidth="1"/>
    <col min="11524" max="11524" width="11" style="12" bestFit="1" customWidth="1"/>
    <col min="11525" max="11525" width="3.85546875" style="12" customWidth="1"/>
    <col min="11526" max="11526" width="11.85546875" style="12" bestFit="1" customWidth="1"/>
    <col min="11527" max="11527" width="6.28515625" style="12" bestFit="1" customWidth="1"/>
    <col min="11528" max="11765" width="9.140625" style="12"/>
    <col min="11766" max="11766" width="34.28515625" style="12" customWidth="1"/>
    <col min="11767" max="11774" width="10" style="12" bestFit="1" customWidth="1"/>
    <col min="11775" max="11775" width="10" style="12" customWidth="1"/>
    <col min="11776" max="11778" width="0" style="12" hidden="1" customWidth="1"/>
    <col min="11779" max="11779" width="2.140625" style="12" customWidth="1"/>
    <col min="11780" max="11780" width="11" style="12" bestFit="1" customWidth="1"/>
    <col min="11781" max="11781" width="3.85546875" style="12" customWidth="1"/>
    <col min="11782" max="11782" width="11.85546875" style="12" bestFit="1" customWidth="1"/>
    <col min="11783" max="11783" width="6.28515625" style="12" bestFit="1" customWidth="1"/>
    <col min="11784" max="12021" width="9.140625" style="12"/>
    <col min="12022" max="12022" width="34.28515625" style="12" customWidth="1"/>
    <col min="12023" max="12030" width="10" style="12" bestFit="1" customWidth="1"/>
    <col min="12031" max="12031" width="10" style="12" customWidth="1"/>
    <col min="12032" max="12034" width="0" style="12" hidden="1" customWidth="1"/>
    <col min="12035" max="12035" width="2.140625" style="12" customWidth="1"/>
    <col min="12036" max="12036" width="11" style="12" bestFit="1" customWidth="1"/>
    <col min="12037" max="12037" width="3.85546875" style="12" customWidth="1"/>
    <col min="12038" max="12038" width="11.85546875" style="12" bestFit="1" customWidth="1"/>
    <col min="12039" max="12039" width="6.28515625" style="12" bestFit="1" customWidth="1"/>
    <col min="12040" max="12277" width="9.140625" style="12"/>
    <col min="12278" max="12278" width="34.28515625" style="12" customWidth="1"/>
    <col min="12279" max="12286" width="10" style="12" bestFit="1" customWidth="1"/>
    <col min="12287" max="12287" width="10" style="12" customWidth="1"/>
    <col min="12288" max="12290" width="0" style="12" hidden="1" customWidth="1"/>
    <col min="12291" max="12291" width="2.140625" style="12" customWidth="1"/>
    <col min="12292" max="12292" width="11" style="12" bestFit="1" customWidth="1"/>
    <col min="12293" max="12293" width="3.85546875" style="12" customWidth="1"/>
    <col min="12294" max="12294" width="11.85546875" style="12" bestFit="1" customWidth="1"/>
    <col min="12295" max="12295" width="6.28515625" style="12" bestFit="1" customWidth="1"/>
    <col min="12296" max="12533" width="9.140625" style="12"/>
    <col min="12534" max="12534" width="34.28515625" style="12" customWidth="1"/>
    <col min="12535" max="12542" width="10" style="12" bestFit="1" customWidth="1"/>
    <col min="12543" max="12543" width="10" style="12" customWidth="1"/>
    <col min="12544" max="12546" width="0" style="12" hidden="1" customWidth="1"/>
    <col min="12547" max="12547" width="2.140625" style="12" customWidth="1"/>
    <col min="12548" max="12548" width="11" style="12" bestFit="1" customWidth="1"/>
    <col min="12549" max="12549" width="3.85546875" style="12" customWidth="1"/>
    <col min="12550" max="12550" width="11.85546875" style="12" bestFit="1" customWidth="1"/>
    <col min="12551" max="12551" width="6.28515625" style="12" bestFit="1" customWidth="1"/>
    <col min="12552" max="12789" width="9.140625" style="12"/>
    <col min="12790" max="12790" width="34.28515625" style="12" customWidth="1"/>
    <col min="12791" max="12798" width="10" style="12" bestFit="1" customWidth="1"/>
    <col min="12799" max="12799" width="10" style="12" customWidth="1"/>
    <col min="12800" max="12802" width="0" style="12" hidden="1" customWidth="1"/>
    <col min="12803" max="12803" width="2.140625" style="12" customWidth="1"/>
    <col min="12804" max="12804" width="11" style="12" bestFit="1" customWidth="1"/>
    <col min="12805" max="12805" width="3.85546875" style="12" customWidth="1"/>
    <col min="12806" max="12806" width="11.85546875" style="12" bestFit="1" customWidth="1"/>
    <col min="12807" max="12807" width="6.28515625" style="12" bestFit="1" customWidth="1"/>
    <col min="12808" max="13045" width="9.140625" style="12"/>
    <col min="13046" max="13046" width="34.28515625" style="12" customWidth="1"/>
    <col min="13047" max="13054" width="10" style="12" bestFit="1" customWidth="1"/>
    <col min="13055" max="13055" width="10" style="12" customWidth="1"/>
    <col min="13056" max="13058" width="0" style="12" hidden="1" customWidth="1"/>
    <col min="13059" max="13059" width="2.140625" style="12" customWidth="1"/>
    <col min="13060" max="13060" width="11" style="12" bestFit="1" customWidth="1"/>
    <col min="13061" max="13061" width="3.85546875" style="12" customWidth="1"/>
    <col min="13062" max="13062" width="11.85546875" style="12" bestFit="1" customWidth="1"/>
    <col min="13063" max="13063" width="6.28515625" style="12" bestFit="1" customWidth="1"/>
    <col min="13064" max="13301" width="9.140625" style="12"/>
    <col min="13302" max="13302" width="34.28515625" style="12" customWidth="1"/>
    <col min="13303" max="13310" width="10" style="12" bestFit="1" customWidth="1"/>
    <col min="13311" max="13311" width="10" style="12" customWidth="1"/>
    <col min="13312" max="13314" width="0" style="12" hidden="1" customWidth="1"/>
    <col min="13315" max="13315" width="2.140625" style="12" customWidth="1"/>
    <col min="13316" max="13316" width="11" style="12" bestFit="1" customWidth="1"/>
    <col min="13317" max="13317" width="3.85546875" style="12" customWidth="1"/>
    <col min="13318" max="13318" width="11.85546875" style="12" bestFit="1" customWidth="1"/>
    <col min="13319" max="13319" width="6.28515625" style="12" bestFit="1" customWidth="1"/>
    <col min="13320" max="13557" width="9.140625" style="12"/>
    <col min="13558" max="13558" width="34.28515625" style="12" customWidth="1"/>
    <col min="13559" max="13566" width="10" style="12" bestFit="1" customWidth="1"/>
    <col min="13567" max="13567" width="10" style="12" customWidth="1"/>
    <col min="13568" max="13570" width="0" style="12" hidden="1" customWidth="1"/>
    <col min="13571" max="13571" width="2.140625" style="12" customWidth="1"/>
    <col min="13572" max="13572" width="11" style="12" bestFit="1" customWidth="1"/>
    <col min="13573" max="13573" width="3.85546875" style="12" customWidth="1"/>
    <col min="13574" max="13574" width="11.85546875" style="12" bestFit="1" customWidth="1"/>
    <col min="13575" max="13575" width="6.28515625" style="12" bestFit="1" customWidth="1"/>
    <col min="13576" max="13813" width="9.140625" style="12"/>
    <col min="13814" max="13814" width="34.28515625" style="12" customWidth="1"/>
    <col min="13815" max="13822" width="10" style="12" bestFit="1" customWidth="1"/>
    <col min="13823" max="13823" width="10" style="12" customWidth="1"/>
    <col min="13824" max="13826" width="0" style="12" hidden="1" customWidth="1"/>
    <col min="13827" max="13827" width="2.140625" style="12" customWidth="1"/>
    <col min="13828" max="13828" width="11" style="12" bestFit="1" customWidth="1"/>
    <col min="13829" max="13829" width="3.85546875" style="12" customWidth="1"/>
    <col min="13830" max="13830" width="11.85546875" style="12" bestFit="1" customWidth="1"/>
    <col min="13831" max="13831" width="6.28515625" style="12" bestFit="1" customWidth="1"/>
    <col min="13832" max="14069" width="9.140625" style="12"/>
    <col min="14070" max="14070" width="34.28515625" style="12" customWidth="1"/>
    <col min="14071" max="14078" width="10" style="12" bestFit="1" customWidth="1"/>
    <col min="14079" max="14079" width="10" style="12" customWidth="1"/>
    <col min="14080" max="14082" width="0" style="12" hidden="1" customWidth="1"/>
    <col min="14083" max="14083" width="2.140625" style="12" customWidth="1"/>
    <col min="14084" max="14084" width="11" style="12" bestFit="1" customWidth="1"/>
    <col min="14085" max="14085" width="3.85546875" style="12" customWidth="1"/>
    <col min="14086" max="14086" width="11.85546875" style="12" bestFit="1" customWidth="1"/>
    <col min="14087" max="14087" width="6.28515625" style="12" bestFit="1" customWidth="1"/>
    <col min="14088" max="14325" width="9.140625" style="12"/>
    <col min="14326" max="14326" width="34.28515625" style="12" customWidth="1"/>
    <col min="14327" max="14334" width="10" style="12" bestFit="1" customWidth="1"/>
    <col min="14335" max="14335" width="10" style="12" customWidth="1"/>
    <col min="14336" max="14338" width="0" style="12" hidden="1" customWidth="1"/>
    <col min="14339" max="14339" width="2.140625" style="12" customWidth="1"/>
    <col min="14340" max="14340" width="11" style="12" bestFit="1" customWidth="1"/>
    <col min="14341" max="14341" width="3.85546875" style="12" customWidth="1"/>
    <col min="14342" max="14342" width="11.85546875" style="12" bestFit="1" customWidth="1"/>
    <col min="14343" max="14343" width="6.28515625" style="12" bestFit="1" customWidth="1"/>
    <col min="14344" max="14581" width="9.140625" style="12"/>
    <col min="14582" max="14582" width="34.28515625" style="12" customWidth="1"/>
    <col min="14583" max="14590" width="10" style="12" bestFit="1" customWidth="1"/>
    <col min="14591" max="14591" width="10" style="12" customWidth="1"/>
    <col min="14592" max="14594" width="0" style="12" hidden="1" customWidth="1"/>
    <col min="14595" max="14595" width="2.140625" style="12" customWidth="1"/>
    <col min="14596" max="14596" width="11" style="12" bestFit="1" customWidth="1"/>
    <col min="14597" max="14597" width="3.85546875" style="12" customWidth="1"/>
    <col min="14598" max="14598" width="11.85546875" style="12" bestFit="1" customWidth="1"/>
    <col min="14599" max="14599" width="6.28515625" style="12" bestFit="1" customWidth="1"/>
    <col min="14600" max="14837" width="9.140625" style="12"/>
    <col min="14838" max="14838" width="34.28515625" style="12" customWidth="1"/>
    <col min="14839" max="14846" width="10" style="12" bestFit="1" customWidth="1"/>
    <col min="14847" max="14847" width="10" style="12" customWidth="1"/>
    <col min="14848" max="14850" width="0" style="12" hidden="1" customWidth="1"/>
    <col min="14851" max="14851" width="2.140625" style="12" customWidth="1"/>
    <col min="14852" max="14852" width="11" style="12" bestFit="1" customWidth="1"/>
    <col min="14853" max="14853" width="3.85546875" style="12" customWidth="1"/>
    <col min="14854" max="14854" width="11.85546875" style="12" bestFit="1" customWidth="1"/>
    <col min="14855" max="14855" width="6.28515625" style="12" bestFit="1" customWidth="1"/>
    <col min="14856" max="15093" width="9.140625" style="12"/>
    <col min="15094" max="15094" width="34.28515625" style="12" customWidth="1"/>
    <col min="15095" max="15102" width="10" style="12" bestFit="1" customWidth="1"/>
    <col min="15103" max="15103" width="10" style="12" customWidth="1"/>
    <col min="15104" max="15106" width="0" style="12" hidden="1" customWidth="1"/>
    <col min="15107" max="15107" width="2.140625" style="12" customWidth="1"/>
    <col min="15108" max="15108" width="11" style="12" bestFit="1" customWidth="1"/>
    <col min="15109" max="15109" width="3.85546875" style="12" customWidth="1"/>
    <col min="15110" max="15110" width="11.85546875" style="12" bestFit="1" customWidth="1"/>
    <col min="15111" max="15111" width="6.28515625" style="12" bestFit="1" customWidth="1"/>
    <col min="15112" max="15349" width="9.140625" style="12"/>
    <col min="15350" max="15350" width="34.28515625" style="12" customWidth="1"/>
    <col min="15351" max="15358" width="10" style="12" bestFit="1" customWidth="1"/>
    <col min="15359" max="15359" width="10" style="12" customWidth="1"/>
    <col min="15360" max="15362" width="0" style="12" hidden="1" customWidth="1"/>
    <col min="15363" max="15363" width="2.140625" style="12" customWidth="1"/>
    <col min="15364" max="15364" width="11" style="12" bestFit="1" customWidth="1"/>
    <col min="15365" max="15365" width="3.85546875" style="12" customWidth="1"/>
    <col min="15366" max="15366" width="11.85546875" style="12" bestFit="1" customWidth="1"/>
    <col min="15367" max="15367" width="6.28515625" style="12" bestFit="1" customWidth="1"/>
    <col min="15368" max="15605" width="9.140625" style="12"/>
    <col min="15606" max="15606" width="34.28515625" style="12" customWidth="1"/>
    <col min="15607" max="15614" width="10" style="12" bestFit="1" customWidth="1"/>
    <col min="15615" max="15615" width="10" style="12" customWidth="1"/>
    <col min="15616" max="15618" width="0" style="12" hidden="1" customWidth="1"/>
    <col min="15619" max="15619" width="2.140625" style="12" customWidth="1"/>
    <col min="15620" max="15620" width="11" style="12" bestFit="1" customWidth="1"/>
    <col min="15621" max="15621" width="3.85546875" style="12" customWidth="1"/>
    <col min="15622" max="15622" width="11.85546875" style="12" bestFit="1" customWidth="1"/>
    <col min="15623" max="15623" width="6.28515625" style="12" bestFit="1" customWidth="1"/>
    <col min="15624" max="15861" width="9.140625" style="12"/>
    <col min="15862" max="15862" width="34.28515625" style="12" customWidth="1"/>
    <col min="15863" max="15870" width="10" style="12" bestFit="1" customWidth="1"/>
    <col min="15871" max="15871" width="10" style="12" customWidth="1"/>
    <col min="15872" max="15874" width="0" style="12" hidden="1" customWidth="1"/>
    <col min="15875" max="15875" width="2.140625" style="12" customWidth="1"/>
    <col min="15876" max="15876" width="11" style="12" bestFit="1" customWidth="1"/>
    <col min="15877" max="15877" width="3.85546875" style="12" customWidth="1"/>
    <col min="15878" max="15878" width="11.85546875" style="12" bestFit="1" customWidth="1"/>
    <col min="15879" max="15879" width="6.28515625" style="12" bestFit="1" customWidth="1"/>
    <col min="15880" max="16117" width="9.140625" style="12"/>
    <col min="16118" max="16118" width="34.28515625" style="12" customWidth="1"/>
    <col min="16119" max="16126" width="10" style="12" bestFit="1" customWidth="1"/>
    <col min="16127" max="16127" width="10" style="12" customWidth="1"/>
    <col min="16128" max="16130" width="0" style="12" hidden="1" customWidth="1"/>
    <col min="16131" max="16131" width="2.140625" style="12" customWidth="1"/>
    <col min="16132" max="16132" width="11" style="12" bestFit="1" customWidth="1"/>
    <col min="16133" max="16133" width="3.85546875" style="12" customWidth="1"/>
    <col min="16134" max="16134" width="11.85546875" style="12" bestFit="1" customWidth="1"/>
    <col min="16135" max="16135" width="6.28515625" style="12" bestFit="1" customWidth="1"/>
    <col min="16136" max="16384" width="9.140625" style="12"/>
  </cols>
  <sheetData>
    <row r="1" spans="1:7" ht="27" customHeight="1" x14ac:dyDescent="0.2">
      <c r="A1" s="72" t="s">
        <v>353</v>
      </c>
      <c r="B1" s="72"/>
      <c r="C1" s="72"/>
      <c r="D1" s="72"/>
      <c r="E1" s="72"/>
      <c r="F1" s="72"/>
      <c r="G1" s="72"/>
    </row>
    <row r="2" spans="1:7" ht="23.25" x14ac:dyDescent="0.35">
      <c r="B2" s="46"/>
      <c r="C2" s="46"/>
      <c r="D2" s="46"/>
    </row>
    <row r="3" spans="1:7" x14ac:dyDescent="0.2">
      <c r="B3" s="51"/>
      <c r="C3" s="51"/>
      <c r="D3" s="51"/>
      <c r="E3" s="51"/>
      <c r="F3" s="136" t="s">
        <v>319</v>
      </c>
      <c r="G3" s="137"/>
    </row>
    <row r="4" spans="1:7" s="5" customFormat="1" x14ac:dyDescent="0.2">
      <c r="A4" s="42" t="s">
        <v>291</v>
      </c>
      <c r="B4" s="53" t="s">
        <v>230</v>
      </c>
      <c r="C4" s="53" t="s">
        <v>307</v>
      </c>
      <c r="D4" s="53" t="s">
        <v>346</v>
      </c>
      <c r="E4" s="54"/>
      <c r="F4" s="55" t="s">
        <v>344</v>
      </c>
      <c r="G4" s="55" t="s">
        <v>345</v>
      </c>
    </row>
    <row r="5" spans="1:7" s="5" customFormat="1" hidden="1" x14ac:dyDescent="0.2">
      <c r="A5" s="6"/>
      <c r="B5" s="7"/>
      <c r="C5" s="7"/>
      <c r="D5" s="7" t="e">
        <f>#REF!</f>
        <v>#REF!</v>
      </c>
      <c r="E5" s="4"/>
      <c r="F5" s="7"/>
      <c r="G5" s="7"/>
    </row>
    <row r="6" spans="1:7" s="5" customFormat="1" ht="22.5" customHeight="1" x14ac:dyDescent="0.2">
      <c r="A6" s="8" t="s">
        <v>291</v>
      </c>
      <c r="B6" s="4"/>
      <c r="C6" s="4"/>
      <c r="D6" s="4"/>
      <c r="E6" s="4"/>
      <c r="F6" s="4"/>
      <c r="G6" s="4"/>
    </row>
    <row r="7" spans="1:7" x14ac:dyDescent="0.2">
      <c r="A7" s="13" t="s">
        <v>187</v>
      </c>
      <c r="B7" s="10">
        <v>19333.36</v>
      </c>
      <c r="C7" s="10">
        <v>21827.760000000002</v>
      </c>
      <c r="D7" s="10" t="e">
        <f>VLOOKUP(A7,#REF!,15,0)</f>
        <v>#REF!</v>
      </c>
      <c r="F7" s="10">
        <f>C7-B7</f>
        <v>2494.4000000000015</v>
      </c>
      <c r="G7" s="10" t="e">
        <f>D7-C7</f>
        <v>#REF!</v>
      </c>
    </row>
    <row r="8" spans="1:7" x14ac:dyDescent="0.2">
      <c r="A8" s="13" t="s">
        <v>189</v>
      </c>
      <c r="B8" s="10">
        <v>3638.7100000000009</v>
      </c>
      <c r="C8" s="10">
        <v>3971.5299999999997</v>
      </c>
      <c r="D8" s="10" t="e">
        <f>VLOOKUP(A8,#REF!,15,0)</f>
        <v>#REF!</v>
      </c>
      <c r="F8" s="10">
        <f t="shared" ref="F8:F11" si="0">C8-B8</f>
        <v>332.8199999999988</v>
      </c>
      <c r="G8" s="10" t="e">
        <f t="shared" ref="G8:G11" si="1">D8-C8</f>
        <v>#REF!</v>
      </c>
    </row>
    <row r="9" spans="1:7" hidden="1" x14ac:dyDescent="0.2">
      <c r="A9" s="13" t="s">
        <v>191</v>
      </c>
      <c r="B9" s="10">
        <v>0</v>
      </c>
      <c r="C9" s="10">
        <v>0</v>
      </c>
      <c r="D9" s="10" t="e">
        <f>VLOOKUP(A9,#REF!,15,0)</f>
        <v>#REF!</v>
      </c>
      <c r="F9" s="10">
        <f t="shared" si="0"/>
        <v>0</v>
      </c>
      <c r="G9" s="10" t="e">
        <f t="shared" si="1"/>
        <v>#REF!</v>
      </c>
    </row>
    <row r="10" spans="1:7" x14ac:dyDescent="0.2">
      <c r="A10" s="13" t="s">
        <v>70</v>
      </c>
      <c r="B10" s="10">
        <v>209.17</v>
      </c>
      <c r="C10" s="10">
        <v>1484.27</v>
      </c>
      <c r="D10" s="10" t="e">
        <f>VLOOKUP(A10,#REF!,15,0)</f>
        <v>#REF!</v>
      </c>
      <c r="F10" s="10">
        <f t="shared" si="0"/>
        <v>1275.0999999999999</v>
      </c>
      <c r="G10" s="10" t="e">
        <f t="shared" si="1"/>
        <v>#REF!</v>
      </c>
    </row>
    <row r="11" spans="1:7" x14ac:dyDescent="0.2">
      <c r="A11" s="13" t="s">
        <v>283</v>
      </c>
      <c r="B11" s="10">
        <v>778.1099999999999</v>
      </c>
      <c r="C11" s="10">
        <v>426.23</v>
      </c>
      <c r="D11" s="10" t="e">
        <f>VLOOKUP(A11,#REF!,15,0)</f>
        <v>#REF!</v>
      </c>
      <c r="F11" s="10">
        <f t="shared" si="0"/>
        <v>-351.87999999999988</v>
      </c>
      <c r="G11" s="10" t="e">
        <f t="shared" si="1"/>
        <v>#REF!</v>
      </c>
    </row>
    <row r="12" spans="1:7" x14ac:dyDescent="0.2">
      <c r="A12" s="15" t="s">
        <v>333</v>
      </c>
      <c r="B12" s="16">
        <f>SUM(B7:B11)</f>
        <v>23959.35</v>
      </c>
      <c r="C12" s="16">
        <f>SUM(C7:C11)</f>
        <v>27709.79</v>
      </c>
      <c r="D12" s="16" t="e">
        <f>SUM(D7:D11)</f>
        <v>#REF!</v>
      </c>
      <c r="F12" s="16">
        <f t="shared" ref="F12:G12" si="2">SUM(F7:F11)</f>
        <v>3750.4399999999996</v>
      </c>
      <c r="G12" s="16" t="e">
        <f t="shared" si="2"/>
        <v>#REF!</v>
      </c>
    </row>
    <row r="13" spans="1:7" x14ac:dyDescent="0.2">
      <c r="F13" s="62">
        <f>IFERROR(C12/B12-1,"")</f>
        <v>0.15653346188440009</v>
      </c>
      <c r="G13" s="62" t="str">
        <f>IFERROR(D12/C12-1,"")</f>
        <v/>
      </c>
    </row>
  </sheetData>
  <mergeCells count="1">
    <mergeCell ref="F3:G3"/>
  </mergeCells>
  <printOptions horizontalCentered="1"/>
  <pageMargins left="0.51181102362204722" right="0.51181102362204722" top="1.3779527559055118" bottom="0.78740157480314965" header="0.78740157480314965" footer="0.31496062992125984"/>
  <pageSetup paperSize="9" scale="110" orientation="landscape" horizontalDpi="1200" verticalDpi="1200" r:id="rId1"/>
  <headerFooter>
    <oddHeader>&amp;C&amp;"-,Negrito"&amp;28ASSOCIAÇÃO DAS IGREJAS DA OBRA REGIONAL - REGIÃO 06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PLANO.CONTAS</vt:lpstr>
      <vt:lpstr>Plano.Vinculacao_Conta.Azul</vt:lpstr>
      <vt:lpstr>TD_Plano.Contas</vt:lpstr>
      <vt:lpstr>TD_Fornecedores</vt:lpstr>
      <vt:lpstr>TD_Centro.Custos</vt:lpstr>
      <vt:lpstr>Grafico_2017</vt:lpstr>
      <vt:lpstr>Fluxo.Detalhado_2016</vt:lpstr>
      <vt:lpstr>FF_2017</vt:lpstr>
      <vt:lpstr>FF_2016</vt:lpstr>
      <vt:lpstr>Graficos_2018</vt:lpstr>
      <vt:lpstr>Comparativo.Entradas</vt:lpstr>
      <vt:lpstr>Comparativo.Colportagem</vt:lpstr>
      <vt:lpstr>CEAPE_2017</vt:lpstr>
      <vt:lpstr>Comparativo.Africa</vt:lpstr>
      <vt:lpstr>Comparativo.Obreiros</vt:lpstr>
      <vt:lpstr>Comparativo.DespGerais</vt:lpstr>
      <vt:lpstr>Comparativo.Obrig.Trab</vt:lpstr>
      <vt:lpstr>Comparativo.Desp.Financ.Trib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JAIRES JR</dc:creator>
  <cp:lastModifiedBy>Maxwell Martins Gomes</cp:lastModifiedBy>
  <cp:lastPrinted>2021-06-02T16:18:01Z</cp:lastPrinted>
  <dcterms:created xsi:type="dcterms:W3CDTF">2014-04-12T14:15:46Z</dcterms:created>
  <dcterms:modified xsi:type="dcterms:W3CDTF">2025-06-27T14:23:08Z</dcterms:modified>
</cp:coreProperties>
</file>